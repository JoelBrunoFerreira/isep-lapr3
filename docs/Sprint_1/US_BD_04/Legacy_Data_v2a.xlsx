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vns30\Desktop\"/>
    </mc:Choice>
  </mc:AlternateContent>
  <xr:revisionPtr revIDLastSave="0" documentId="13_ncr:1_{C4D08242-1A5D-4AC7-A690-33F2630768D4}" xr6:coauthVersionLast="47" xr6:coauthVersionMax="47" xr10:uidLastSave="{00000000-0000-0000-0000-000000000000}"/>
  <bookViews>
    <workbookView xWindow="-120" yWindow="-120" windowWidth="29040" windowHeight="15720" activeTab="2" xr2:uid="{ACBD79A1-D35B-4D3E-A78E-4F35CA726952}"/>
  </bookViews>
  <sheets>
    <sheet name="Plantas" sheetId="1" r:id="rId1"/>
    <sheet name="Fator Produção" sheetId="4" r:id="rId2"/>
    <sheet name="Exploração agrícola" sheetId="2" r:id="rId3"/>
    <sheet name="Culturas" sheetId="5" r:id="rId4"/>
    <sheet name="Operações" sheetId="3" r:id="rId5"/>
    <sheet name="Unidades" sheetId="6" r:id="rId6"/>
  </sheets>
  <definedNames>
    <definedName name="_xlnm._FilterDatabase" localSheetId="4" hidden="1">Operações!$A$1:$I$209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2" l="1"/>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I10" i="2"/>
  <c r="I11" i="2"/>
  <c r="I13" i="2"/>
  <c r="I14" i="2"/>
  <c r="I9" i="2"/>
  <c r="D88" i="4"/>
  <c r="D89" i="4"/>
  <c r="D90" i="4"/>
  <c r="D91" i="4"/>
  <c r="D92" i="4"/>
  <c r="D93" i="4"/>
  <c r="D87" i="4"/>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K4" i="5"/>
  <c r="K5" i="5" s="1"/>
  <c r="K6" i="5" s="1"/>
  <c r="K7" i="5" s="1"/>
  <c r="K8" i="5" s="1"/>
  <c r="K9" i="5" s="1"/>
  <c r="K10" i="5" s="1"/>
  <c r="K11" i="5" s="1"/>
  <c r="K12" i="5" s="1"/>
  <c r="K13" i="5" s="1"/>
  <c r="K14" i="5" s="1"/>
  <c r="K15" i="5" s="1"/>
  <c r="K16" i="5" s="1"/>
  <c r="K17" i="5" s="1"/>
  <c r="K18" i="5" s="1"/>
  <c r="K19" i="5" s="1"/>
  <c r="K20" i="5" s="1"/>
  <c r="K21" i="5" s="1"/>
  <c r="K22" i="5" s="1"/>
  <c r="K23" i="5" s="1"/>
  <c r="K24" i="5" s="1"/>
  <c r="K25" i="5" s="1"/>
  <c r="K26" i="5" s="1"/>
  <c r="K27" i="5" s="1"/>
  <c r="K28" i="5" s="1"/>
  <c r="K3" i="5"/>
  <c r="J2" i="5" a="1"/>
  <c r="J2" i="5" s="1"/>
  <c r="D63" i="4"/>
  <c r="B29" i="4"/>
  <c r="J33" i="1"/>
  <c r="C98" i="4"/>
  <c r="C99" i="4"/>
  <c r="C100" i="4"/>
  <c r="C101" i="4"/>
  <c r="C102" i="4"/>
  <c r="C103" i="4"/>
  <c r="C104" i="4"/>
  <c r="C105" i="4"/>
  <c r="C106" i="4"/>
  <c r="C107" i="4"/>
  <c r="C108" i="4"/>
  <c r="C97" i="4"/>
  <c r="A98" i="4"/>
  <c r="A99" i="4"/>
  <c r="A100" i="4"/>
  <c r="A102" i="4"/>
  <c r="A103" i="4"/>
  <c r="A104" i="4"/>
  <c r="A105" i="4"/>
  <c r="A106" i="4"/>
  <c r="A107" i="4"/>
  <c r="B105" i="4" a="1"/>
  <c r="B105" i="4"/>
  <c r="B106" i="4" a="1"/>
  <c r="B106" i="4" s="1"/>
  <c r="B107" i="4" a="1"/>
  <c r="B107" i="4" s="1"/>
  <c r="B98" i="4" a="1"/>
  <c r="B98" i="4" s="1"/>
  <c r="B99" i="4" a="1"/>
  <c r="B99" i="4"/>
  <c r="B100" i="4" a="1"/>
  <c r="B100" i="4" s="1"/>
  <c r="B101" i="4" a="1"/>
  <c r="B101" i="4" s="1"/>
  <c r="B102" i="4" a="1"/>
  <c r="B102" i="4" s="1"/>
  <c r="B103" i="4" a="1"/>
  <c r="B103" i="4"/>
  <c r="B104" i="4" a="1"/>
  <c r="B104" i="4"/>
  <c r="B97" i="4" a="1"/>
  <c r="B97" i="4"/>
  <c r="A97" i="4"/>
  <c r="C88" i="4"/>
  <c r="C89" i="4" s="1"/>
  <c r="C90" i="4" s="1"/>
  <c r="C91" i="4" s="1"/>
  <c r="C92" i="4" s="1"/>
  <c r="C93" i="4" s="1"/>
  <c r="K3" i="3"/>
  <c r="K4" i="3" s="1"/>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A214" i="3"/>
  <c r="C83" i="4"/>
  <c r="C82" i="4"/>
  <c r="C81" i="4"/>
  <c r="C80" i="4"/>
  <c r="C79" i="4"/>
  <c r="C75" i="4"/>
  <c r="C76" i="4"/>
  <c r="C77" i="4"/>
  <c r="C78" i="4"/>
  <c r="C74" i="4"/>
  <c r="C64" i="4"/>
  <c r="C65" i="4"/>
  <c r="C66" i="4"/>
  <c r="C67" i="4"/>
  <c r="C68" i="4"/>
  <c r="C69" i="4"/>
  <c r="C70" i="4"/>
  <c r="C71" i="4"/>
  <c r="C72" i="4"/>
  <c r="C73" i="4"/>
  <c r="C63" i="4"/>
  <c r="B48" i="4"/>
  <c r="B49" i="4" s="1"/>
  <c r="B50" i="4" s="1"/>
  <c r="B51" i="4" s="1"/>
  <c r="B52" i="4" s="1"/>
  <c r="B53" i="4" s="1"/>
  <c r="B54" i="4" s="1"/>
  <c r="B55" i="4" s="1"/>
  <c r="B56" i="4" s="1"/>
  <c r="B57" i="4" s="1"/>
  <c r="B58" i="4" s="1"/>
  <c r="A54" i="4" a="1"/>
  <c r="A54" i="4" s="1"/>
  <c r="A46" i="4" a="1"/>
  <c r="A46" i="4" s="1"/>
  <c r="A23" i="2"/>
  <c r="A24" i="2"/>
  <c r="A25" i="2"/>
  <c r="A22" i="2"/>
  <c r="J16" i="1"/>
  <c r="B17" i="4"/>
  <c r="B18" i="4" s="1"/>
  <c r="A18" i="2" a="1"/>
  <c r="A18" i="2" s="1"/>
  <c r="B19" i="2"/>
  <c r="B20" i="2" s="1"/>
  <c r="B21" i="2" s="1"/>
  <c r="B4" i="6"/>
  <c r="J3" i="1"/>
  <c r="K2" i="1" a="1"/>
  <c r="K2" i="1" s="1"/>
  <c r="S13" i="1" s="1" a="1"/>
  <c r="S13" i="1" s="1"/>
  <c r="A86" i="4" a="1"/>
  <c r="A86" i="4" s="1"/>
  <c r="B87" i="4" s="1"/>
  <c r="A42" i="4" a="1"/>
  <c r="A42" i="4" s="1"/>
  <c r="A35" i="4" a="1"/>
  <c r="A35" i="4" s="1"/>
  <c r="A29" i="4" a="1"/>
  <c r="A29" i="4" s="1"/>
  <c r="A16" i="4" a="1"/>
  <c r="A16" i="4" s="1"/>
  <c r="K31" i="1" a="1"/>
  <c r="K31" i="1" s="1"/>
  <c r="A1" i="6" a="1"/>
  <c r="A1" i="6" s="1"/>
  <c r="A5" i="6" a="1"/>
  <c r="A5" i="6" s="1"/>
  <c r="A7" i="6" a="1"/>
  <c r="A7" i="6" s="1"/>
  <c r="B213" i="3" a="1"/>
  <c r="B213" i="3" s="1"/>
  <c r="V93" i="1"/>
  <c r="V4" i="1"/>
  <c r="L46" i="3" s="1"/>
  <c r="V5" i="1"/>
  <c r="L4" i="3" s="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4" i="1"/>
  <c r="V95" i="1"/>
  <c r="V96" i="1"/>
  <c r="V3" i="1"/>
  <c r="V2" i="1"/>
  <c r="L5" i="3" s="1"/>
  <c r="T2" i="1" a="1"/>
  <c r="T2" i="1" s="1"/>
  <c r="L127" i="3" l="1"/>
  <c r="L94" i="3"/>
  <c r="L93" i="3"/>
  <c r="L205" i="3"/>
  <c r="L90" i="3"/>
  <c r="L199" i="3"/>
  <c r="L89" i="3"/>
  <c r="L198" i="3"/>
  <c r="L48" i="3"/>
  <c r="L192" i="3"/>
  <c r="L47" i="3"/>
  <c r="L191" i="3"/>
  <c r="L188" i="3"/>
  <c r="L43" i="3"/>
  <c r="L187" i="3"/>
  <c r="L42" i="3"/>
  <c r="L186" i="3"/>
  <c r="L41" i="3"/>
  <c r="L183" i="3"/>
  <c r="L38" i="3"/>
  <c r="L17" i="3"/>
  <c r="J34" i="1"/>
  <c r="L147" i="3"/>
  <c r="L25" i="3"/>
  <c r="L145" i="3"/>
  <c r="L24" i="3"/>
  <c r="L144" i="3"/>
  <c r="L23" i="3"/>
  <c r="L138" i="3"/>
  <c r="L20" i="3"/>
  <c r="L137" i="3"/>
  <c r="L19" i="3"/>
  <c r="L134" i="3"/>
  <c r="L18" i="3"/>
  <c r="L132" i="3"/>
  <c r="L6" i="3"/>
  <c r="J15" i="1"/>
  <c r="L130" i="3"/>
  <c r="C214" i="3"/>
  <c r="B89" i="4" a="1"/>
  <c r="B89" i="4" s="1"/>
  <c r="B91" i="4"/>
  <c r="B88" i="4"/>
  <c r="B93" i="4"/>
  <c r="B92" i="4"/>
  <c r="C47" i="4" a="1"/>
  <c r="C47" i="4" s="1"/>
  <c r="A83" i="4" s="1" a="1"/>
  <c r="A83" i="4" s="1"/>
  <c r="B64" i="4" a="1"/>
  <c r="B64" i="4" s="1"/>
  <c r="B63" i="4" a="1"/>
  <c r="B63" i="4" s="1"/>
  <c r="B74" i="4" a="1"/>
  <c r="B74" i="4" s="1"/>
  <c r="B65" i="4" a="1"/>
  <c r="B65" i="4" s="1"/>
  <c r="B80" i="4" a="1"/>
  <c r="B80" i="4" s="1"/>
  <c r="D3" i="6" a="1"/>
  <c r="L116" i="3"/>
  <c r="L175" i="3"/>
  <c r="L154" i="3"/>
  <c r="L32" i="3"/>
  <c r="L156" i="3"/>
  <c r="L195" i="3"/>
  <c r="L95" i="3"/>
  <c r="L194" i="3"/>
  <c r="L173" i="3"/>
  <c r="L53" i="3"/>
  <c r="L112" i="3"/>
  <c r="L51" i="3"/>
  <c r="L170" i="3"/>
  <c r="L10" i="3"/>
  <c r="L168" i="3"/>
  <c r="L108" i="3"/>
  <c r="L176" i="3"/>
  <c r="L36" i="3"/>
  <c r="L15" i="3"/>
  <c r="L174" i="3"/>
  <c r="L153" i="3"/>
  <c r="L52" i="3"/>
  <c r="L131" i="3"/>
  <c r="L70" i="3"/>
  <c r="L29" i="3"/>
  <c r="L208" i="3"/>
  <c r="L128" i="3"/>
  <c r="L88" i="3"/>
  <c r="L8" i="3"/>
  <c r="L107" i="3"/>
  <c r="L67" i="3"/>
  <c r="L7" i="3"/>
  <c r="L206" i="3"/>
  <c r="L166" i="3"/>
  <c r="L126" i="3"/>
  <c r="L86" i="3"/>
  <c r="L185" i="3"/>
  <c r="L165" i="3"/>
  <c r="L125" i="3"/>
  <c r="L105" i="3"/>
  <c r="L85" i="3"/>
  <c r="L65" i="3"/>
  <c r="L45" i="3"/>
  <c r="L196" i="3"/>
  <c r="L96" i="3"/>
  <c r="L75" i="3"/>
  <c r="L74" i="3"/>
  <c r="L193" i="3"/>
  <c r="L133" i="3"/>
  <c r="L92" i="3"/>
  <c r="L91" i="3"/>
  <c r="L2" i="3"/>
  <c r="L169" i="3"/>
  <c r="L9" i="3"/>
  <c r="L148" i="3"/>
  <c r="L68" i="3"/>
  <c r="L28" i="3"/>
  <c r="L207" i="3"/>
  <c r="L167" i="3"/>
  <c r="L87" i="3"/>
  <c r="L27" i="3"/>
  <c r="L146" i="3"/>
  <c r="L106" i="3"/>
  <c r="L66" i="3"/>
  <c r="L26" i="3"/>
  <c r="L204" i="3"/>
  <c r="L184" i="3"/>
  <c r="L164" i="3"/>
  <c r="L124" i="3"/>
  <c r="L104" i="3"/>
  <c r="L84" i="3"/>
  <c r="L64" i="3"/>
  <c r="L44" i="3"/>
  <c r="L3" i="3"/>
  <c r="L76" i="3"/>
  <c r="L55" i="3"/>
  <c r="L14" i="3"/>
  <c r="L33" i="3"/>
  <c r="L152" i="3"/>
  <c r="L111" i="3"/>
  <c r="L30" i="3"/>
  <c r="L189" i="3"/>
  <c r="L49" i="3"/>
  <c r="L203" i="3"/>
  <c r="L103" i="3"/>
  <c r="L202" i="3"/>
  <c r="L142" i="3"/>
  <c r="L62" i="3"/>
  <c r="L16" i="3"/>
  <c r="L155" i="3"/>
  <c r="L34" i="3"/>
  <c r="L72" i="3"/>
  <c r="L31" i="3"/>
  <c r="L110" i="3"/>
  <c r="L109" i="3"/>
  <c r="L123" i="3"/>
  <c r="L182" i="3"/>
  <c r="L162" i="3"/>
  <c r="L122" i="3"/>
  <c r="L102" i="3"/>
  <c r="L82" i="3"/>
  <c r="L22" i="3"/>
  <c r="L201" i="3"/>
  <c r="L181" i="3"/>
  <c r="L161" i="3"/>
  <c r="L141" i="3"/>
  <c r="L121" i="3"/>
  <c r="L101" i="3"/>
  <c r="L81" i="3"/>
  <c r="L61" i="3"/>
  <c r="L21" i="3"/>
  <c r="L56" i="3"/>
  <c r="L35" i="3"/>
  <c r="L54" i="3"/>
  <c r="L13" i="3"/>
  <c r="L172" i="3"/>
  <c r="L151" i="3"/>
  <c r="L69" i="3"/>
  <c r="L163" i="3"/>
  <c r="L63" i="3"/>
  <c r="L140" i="3"/>
  <c r="L160" i="3"/>
  <c r="L100" i="3"/>
  <c r="L40" i="3"/>
  <c r="L179" i="3"/>
  <c r="L159" i="3"/>
  <c r="L139" i="3"/>
  <c r="L119" i="3"/>
  <c r="L99" i="3"/>
  <c r="L79" i="3"/>
  <c r="L59" i="3"/>
  <c r="L39" i="3"/>
  <c r="L115" i="3"/>
  <c r="L113" i="3"/>
  <c r="L12" i="3"/>
  <c r="L171" i="3"/>
  <c r="L71" i="3"/>
  <c r="L190" i="3"/>
  <c r="L50" i="3"/>
  <c r="L149" i="3"/>
  <c r="L143" i="3"/>
  <c r="L200" i="3"/>
  <c r="L120" i="3"/>
  <c r="L60" i="3"/>
  <c r="L158" i="3"/>
  <c r="L98" i="3"/>
  <c r="L78" i="3"/>
  <c r="L58" i="3"/>
  <c r="L136" i="3"/>
  <c r="L135" i="3"/>
  <c r="L114" i="3"/>
  <c r="L73" i="3"/>
  <c r="L11" i="3"/>
  <c r="L150" i="3"/>
  <c r="L209" i="3"/>
  <c r="L129" i="3"/>
  <c r="L83" i="3"/>
  <c r="L180" i="3"/>
  <c r="L80" i="3"/>
  <c r="L178" i="3"/>
  <c r="L118" i="3"/>
  <c r="L197" i="3"/>
  <c r="L177" i="3"/>
  <c r="L157" i="3"/>
  <c r="L117" i="3"/>
  <c r="L97" i="3"/>
  <c r="L77" i="3"/>
  <c r="L57" i="3"/>
  <c r="L37" i="3"/>
  <c r="M31" i="3" a="1"/>
  <c r="M31" i="3" s="1"/>
  <c r="M22" i="3" a="1"/>
  <c r="M22" i="3" s="1"/>
  <c r="M21" i="3" a="1"/>
  <c r="M21" i="3" s="1"/>
  <c r="M122" i="3" a="1"/>
  <c r="M122" i="3" s="1"/>
  <c r="M121" i="3" a="1"/>
  <c r="M121" i="3" s="1"/>
  <c r="M52" i="3" a="1"/>
  <c r="M52" i="3" s="1"/>
  <c r="M181" i="3" a="1"/>
  <c r="M181" i="3" s="1"/>
  <c r="M112" i="3" a="1"/>
  <c r="M112" i="3" s="1"/>
  <c r="M12" i="3" a="1"/>
  <c r="M12" i="3" s="1"/>
  <c r="M78" i="3" a="1"/>
  <c r="M78" i="3" s="1"/>
  <c r="M8" i="3" a="1"/>
  <c r="M8" i="3" s="1"/>
  <c r="M72" i="3" a="1"/>
  <c r="M72" i="3" s="1"/>
  <c r="M71" i="3" a="1"/>
  <c r="M71" i="3" s="1"/>
  <c r="M32" i="3" a="1"/>
  <c r="M32" i="3" s="1"/>
  <c r="M3" i="3" a="1"/>
  <c r="M3" i="3" s="1"/>
  <c r="M13" i="3" a="1"/>
  <c r="M13" i="3" s="1"/>
  <c r="M33" i="3" a="1"/>
  <c r="M33" i="3" s="1"/>
  <c r="M53" i="3" a="1"/>
  <c r="M53" i="3" s="1"/>
  <c r="M73" i="3" a="1"/>
  <c r="M73" i="3" s="1"/>
  <c r="M113" i="3" a="1"/>
  <c r="M113" i="3" s="1"/>
  <c r="M123" i="3" a="1"/>
  <c r="M123" i="3" s="1"/>
  <c r="M163" i="3" a="1"/>
  <c r="M163" i="3" s="1"/>
  <c r="M173" i="3" a="1"/>
  <c r="M173" i="3" s="1"/>
  <c r="M27" i="3" a="1"/>
  <c r="M27" i="3" s="1"/>
  <c r="M7" i="3" a="1"/>
  <c r="M7" i="3" s="1"/>
  <c r="M77" i="3" a="1"/>
  <c r="M77" i="3" s="1"/>
  <c r="M177" i="3" a="1"/>
  <c r="M177" i="3" s="1"/>
  <c r="M4" i="3" a="1"/>
  <c r="M4" i="3" s="1"/>
  <c r="M34" i="3" a="1"/>
  <c r="M34" i="3" s="1"/>
  <c r="M54" i="3" a="1"/>
  <c r="M54" i="3" s="1"/>
  <c r="M74" i="3" a="1"/>
  <c r="M74" i="3" s="1"/>
  <c r="M114" i="3" a="1"/>
  <c r="M114" i="3" s="1"/>
  <c r="M124" i="3" a="1"/>
  <c r="M124" i="3" s="1"/>
  <c r="M164" i="3" a="1"/>
  <c r="M164" i="3" s="1"/>
  <c r="M174" i="3" a="1"/>
  <c r="M174" i="3" s="1"/>
  <c r="M167" i="3" a="1"/>
  <c r="M167" i="3" s="1"/>
  <c r="M5" i="3" a="1"/>
  <c r="M5" i="3" s="1"/>
  <c r="M35" i="3" a="1"/>
  <c r="M35" i="3" s="1"/>
  <c r="M55" i="3" a="1"/>
  <c r="M55" i="3" s="1"/>
  <c r="M75" i="3" a="1"/>
  <c r="M75" i="3" s="1"/>
  <c r="M115" i="3" a="1"/>
  <c r="M115" i="3" s="1"/>
  <c r="M165" i="3" a="1"/>
  <c r="M165" i="3" s="1"/>
  <c r="M175" i="3" a="1"/>
  <c r="M175" i="3" s="1"/>
  <c r="M6" i="3" a="1"/>
  <c r="M6" i="3" s="1"/>
  <c r="M26" i="3" a="1"/>
  <c r="M26" i="3" s="1"/>
  <c r="M56" i="3" a="1"/>
  <c r="M56" i="3" s="1"/>
  <c r="M76" i="3" a="1"/>
  <c r="M76" i="3" s="1"/>
  <c r="M116" i="3" a="1"/>
  <c r="M116" i="3" s="1"/>
  <c r="M126" i="3" a="1"/>
  <c r="M126" i="3" s="1"/>
  <c r="M166" i="3" a="1"/>
  <c r="M166" i="3" s="1"/>
  <c r="M176" i="3" a="1"/>
  <c r="M176" i="3" s="1"/>
  <c r="M9" i="3" a="1"/>
  <c r="M9" i="3" s="1"/>
  <c r="M29" i="3" a="1"/>
  <c r="M29" i="3" s="1"/>
  <c r="M49" i="3" a="1"/>
  <c r="M49" i="3" s="1"/>
  <c r="M69" i="3" a="1"/>
  <c r="M69" i="3" s="1"/>
  <c r="M79" i="3" a="1"/>
  <c r="M79" i="3" s="1"/>
  <c r="M119" i="3" a="1"/>
  <c r="M119" i="3" s="1"/>
  <c r="M169" i="3" a="1"/>
  <c r="M169" i="3" s="1"/>
  <c r="C213" i="3"/>
  <c r="M10" i="3" a="1"/>
  <c r="M10" i="3" s="1"/>
  <c r="M30" i="3" a="1"/>
  <c r="M30" i="3" s="1"/>
  <c r="M50" i="3" a="1"/>
  <c r="M50" i="3" s="1"/>
  <c r="M70" i="3" a="1"/>
  <c r="M70" i="3" s="1"/>
  <c r="M110" i="3" a="1"/>
  <c r="M110" i="3" s="1"/>
  <c r="M120" i="3" a="1"/>
  <c r="M120" i="3" s="1"/>
  <c r="M2" i="3" a="1"/>
  <c r="M2" i="3" s="1"/>
  <c r="M51" i="3" a="1"/>
  <c r="M51" i="3" s="1"/>
  <c r="M111" i="3" a="1"/>
  <c r="M111" i="3" s="1"/>
  <c r="M11" i="3" a="1"/>
  <c r="M11" i="3" s="1"/>
  <c r="M172" i="3" a="1"/>
  <c r="M172" i="3" s="1"/>
  <c r="M38" i="3" a="1"/>
  <c r="M38" i="3" s="1"/>
  <c r="M168" i="3" a="1"/>
  <c r="M168" i="3" s="1"/>
  <c r="M162" i="3" a="1"/>
  <c r="M162" i="3" s="1"/>
  <c r="M28" i="3" a="1"/>
  <c r="M28" i="3" s="1"/>
  <c r="A215" i="3"/>
  <c r="E21" i="4" a="1"/>
  <c r="E21" i="4" s="1"/>
  <c r="A71" i="4" a="1"/>
  <c r="A71" i="4" s="1"/>
  <c r="A72" i="4" a="1"/>
  <c r="A72" i="4" s="1"/>
  <c r="B44" i="4"/>
  <c r="D21" i="4" a="1"/>
  <c r="D21" i="4" s="1"/>
  <c r="E20" i="4" a="1"/>
  <c r="E20" i="4" s="1"/>
  <c r="E19" i="4" a="1"/>
  <c r="E19" i="4" s="1"/>
  <c r="D58" i="4"/>
  <c r="D52" i="4"/>
  <c r="C17" i="4" a="1"/>
  <c r="C17" i="4" s="1"/>
  <c r="D22" i="4" a="1"/>
  <c r="D22" i="4" s="1"/>
  <c r="D20" i="4" a="1"/>
  <c r="D20" i="4" s="1"/>
  <c r="D19" i="4" a="1"/>
  <c r="D19" i="4" s="1"/>
  <c r="D18" i="4" a="1"/>
  <c r="D18" i="4" s="1"/>
  <c r="A63" i="4" a="1"/>
  <c r="A63" i="4" s="1"/>
  <c r="F17" i="4"/>
  <c r="A69" i="4" a="1"/>
  <c r="A69" i="4" s="1"/>
  <c r="A75" i="4" a="1"/>
  <c r="A75" i="4" s="1"/>
  <c r="B30" i="4"/>
  <c r="A68" i="4" a="1"/>
  <c r="A68" i="4" s="1"/>
  <c r="A82" i="4" a="1"/>
  <c r="A82" i="4" s="1"/>
  <c r="E25" i="4" a="1"/>
  <c r="E25" i="4" s="1"/>
  <c r="E18" i="4" a="1"/>
  <c r="E18" i="4" s="1"/>
  <c r="E17" i="4" a="1"/>
  <c r="E17" i="4" s="1"/>
  <c r="D17" i="4" a="1"/>
  <c r="D17" i="4" s="1"/>
  <c r="E26" i="4" a="1"/>
  <c r="E26" i="4" s="1"/>
  <c r="B37" i="4"/>
  <c r="E24" i="4" a="1"/>
  <c r="E24" i="4" s="1"/>
  <c r="B36" i="4"/>
  <c r="D57" i="4"/>
  <c r="A65" i="4" a="1"/>
  <c r="A65" i="4" s="1"/>
  <c r="D65" i="4" s="1"/>
  <c r="A77" i="4" a="1"/>
  <c r="A77" i="4" s="1"/>
  <c r="E16" i="4" a="1"/>
  <c r="E16" i="4" s="1"/>
  <c r="D16" i="4" a="1"/>
  <c r="D16" i="4" s="1"/>
  <c r="E23" i="4" a="1"/>
  <c r="E23" i="4" s="1"/>
  <c r="D56" i="4"/>
  <c r="A81" i="4" a="1"/>
  <c r="A81" i="4" s="1"/>
  <c r="D23" i="4" a="1"/>
  <c r="D23" i="4" s="1"/>
  <c r="B43" i="4"/>
  <c r="B31" i="4"/>
  <c r="B35" i="4"/>
  <c r="B42" i="4"/>
  <c r="E22" i="4" a="1"/>
  <c r="E22" i="4" s="1"/>
  <c r="A64" i="4" a="1"/>
  <c r="A64" i="4" s="1"/>
  <c r="D64" i="4" s="1"/>
  <c r="D53" i="4"/>
  <c r="A73" i="4" a="1"/>
  <c r="A73" i="4" s="1"/>
  <c r="C18" i="4" a="1"/>
  <c r="C18" i="4" s="1"/>
  <c r="B19" i="4"/>
  <c r="D24" i="4" s="1" a="1"/>
  <c r="D24" i="4" s="1"/>
  <c r="C24" i="4" a="1"/>
  <c r="C24" i="4" s="1"/>
  <c r="C16" i="4" a="1"/>
  <c r="C16" i="4" s="1"/>
  <c r="C26" i="4" a="1"/>
  <c r="C26" i="4" s="1"/>
  <c r="C25" i="4" a="1"/>
  <c r="C25" i="4" s="1"/>
  <c r="C20" i="4" a="1"/>
  <c r="C20" i="4" s="1"/>
  <c r="C19" i="4" a="1"/>
  <c r="C19" i="4" s="1"/>
  <c r="C21" i="4" a="1"/>
  <c r="C21" i="4" s="1"/>
  <c r="S24" i="1" a="1"/>
  <c r="S24" i="1" s="1"/>
  <c r="S23" i="1" a="1"/>
  <c r="S23" i="1" s="1"/>
  <c r="S22" i="1" a="1"/>
  <c r="S22" i="1" s="1"/>
  <c r="S15" i="1" a="1"/>
  <c r="S15" i="1" s="1"/>
  <c r="S14" i="1" a="1"/>
  <c r="S14" i="1" s="1"/>
  <c r="S4" i="1" a="1"/>
  <c r="S4" i="1" s="1"/>
  <c r="S27" i="1" a="1"/>
  <c r="S27" i="1" s="1"/>
  <c r="S5" i="1" a="1"/>
  <c r="S5" i="1" s="1"/>
  <c r="S28" i="1" a="1"/>
  <c r="S28" i="1" s="1"/>
  <c r="S2" i="1" a="1"/>
  <c r="S2" i="1" s="1"/>
  <c r="S19" i="1" a="1"/>
  <c r="S19" i="1" s="1"/>
  <c r="S9" i="1" a="1"/>
  <c r="S9" i="1" s="1"/>
  <c r="S31" i="1" a="1"/>
  <c r="S31" i="1" s="1"/>
  <c r="S21" i="1" a="1"/>
  <c r="S21" i="1" s="1"/>
  <c r="S16" i="1" a="1"/>
  <c r="S16" i="1" s="1"/>
  <c r="S17" i="1" a="1"/>
  <c r="S17" i="1" s="1"/>
  <c r="S29" i="1" a="1"/>
  <c r="S29" i="1" s="1"/>
  <c r="S6" i="1" a="1"/>
  <c r="S6" i="1" s="1"/>
  <c r="S18" i="1" a="1"/>
  <c r="S18" i="1" s="1"/>
  <c r="S7" i="1" a="1"/>
  <c r="S7" i="1" s="1"/>
  <c r="S30" i="1" a="1"/>
  <c r="S30" i="1" s="1"/>
  <c r="S8" i="1" a="1"/>
  <c r="S8" i="1" s="1"/>
  <c r="S20" i="1" a="1"/>
  <c r="S20" i="1" s="1"/>
  <c r="S10" i="1" a="1"/>
  <c r="S10" i="1" s="1"/>
  <c r="S32" i="1" a="1"/>
  <c r="S32" i="1" s="1"/>
  <c r="S12" i="1" a="1"/>
  <c r="S12" i="1" s="1"/>
  <c r="S56" i="1" a="1"/>
  <c r="S56" i="1" s="1"/>
  <c r="S34" i="1" a="1"/>
  <c r="S34" i="1" s="1"/>
  <c r="S11" i="1" a="1"/>
  <c r="S11" i="1" s="1"/>
  <c r="S3" i="1" a="1"/>
  <c r="S3" i="1" s="1"/>
  <c r="S26" i="1" a="1"/>
  <c r="S26" i="1" s="1"/>
  <c r="S25" i="1" a="1"/>
  <c r="S25" i="1" s="1"/>
  <c r="M13" i="1"/>
  <c r="J4" i="1"/>
  <c r="S52" i="1" l="1" a="1"/>
  <c r="S52" i="1" s="1"/>
  <c r="J17" i="1"/>
  <c r="M18" i="3" a="1"/>
  <c r="M18" i="3" s="1"/>
  <c r="C215" i="3"/>
  <c r="D55" i="4"/>
  <c r="A78" i="4" a="1"/>
  <c r="A78" i="4" s="1"/>
  <c r="A79" i="4" a="1"/>
  <c r="A79" i="4" s="1"/>
  <c r="A70" i="4" a="1"/>
  <c r="A70" i="4" s="1"/>
  <c r="A76" i="4" a="1"/>
  <c r="A76" i="4" s="1"/>
  <c r="A74" i="4" a="1"/>
  <c r="A74" i="4" s="1"/>
  <c r="D74" i="4" s="1"/>
  <c r="D49" i="4"/>
  <c r="D54" i="4"/>
  <c r="A66" i="4" a="1"/>
  <c r="A66" i="4" s="1"/>
  <c r="D50" i="4"/>
  <c r="A67" i="4" a="1"/>
  <c r="A67" i="4" s="1"/>
  <c r="A80" i="4" a="1"/>
  <c r="A80" i="4" s="1"/>
  <c r="D80" i="4" s="1"/>
  <c r="D48" i="4"/>
  <c r="D47" i="4"/>
  <c r="D51" i="4"/>
  <c r="C7" i="6" a="1"/>
  <c r="C7" i="6" s="1"/>
  <c r="E6" i="6" s="1"/>
  <c r="C6" i="6" a="1"/>
  <c r="C6" i="6" s="1"/>
  <c r="E5" i="6" s="1"/>
  <c r="C5" i="6" a="1"/>
  <c r="C5" i="6" s="1"/>
  <c r="E4" i="6" s="1"/>
  <c r="C4" i="6" a="1"/>
  <c r="C4" i="6" s="1"/>
  <c r="D3" i="6"/>
  <c r="C3" i="6" s="1" a="1"/>
  <c r="C3" i="6" s="1"/>
  <c r="I23" i="5" s="1"/>
  <c r="L23" i="5" s="1"/>
  <c r="B66" i="4" a="1"/>
  <c r="B66" i="4" s="1"/>
  <c r="M149" i="3" a="1"/>
  <c r="M149" i="3" s="1"/>
  <c r="M205" i="3" a="1"/>
  <c r="M205" i="3" s="1"/>
  <c r="M193" i="3" a="1"/>
  <c r="M193" i="3" s="1"/>
  <c r="M202" i="3" a="1"/>
  <c r="M202" i="3" s="1"/>
  <c r="M146" i="3" a="1"/>
  <c r="M146" i="3" s="1"/>
  <c r="M41" i="3" a="1"/>
  <c r="M41" i="3" s="1"/>
  <c r="M90" i="3" a="1"/>
  <c r="M90" i="3" s="1"/>
  <c r="M87" i="3" a="1"/>
  <c r="M87" i="3" s="1"/>
  <c r="M58" i="3" a="1"/>
  <c r="M58" i="3" s="1"/>
  <c r="M145" i="3" a="1"/>
  <c r="M145" i="3" s="1"/>
  <c r="M143" i="3" a="1"/>
  <c r="M143" i="3" s="1"/>
  <c r="M89" i="3" a="1"/>
  <c r="M89" i="3" s="1"/>
  <c r="M14" i="3" a="1"/>
  <c r="M14" i="3" s="1"/>
  <c r="M60" i="3" a="1"/>
  <c r="M60" i="3" s="1"/>
  <c r="M204" i="3" a="1"/>
  <c r="M204" i="3" s="1"/>
  <c r="M40" i="3" a="1"/>
  <c r="M40" i="3" s="1"/>
  <c r="M147" i="3" a="1"/>
  <c r="M147" i="3" s="1"/>
  <c r="M95" i="3" a="1"/>
  <c r="M95" i="3" s="1"/>
  <c r="M93" i="3" a="1"/>
  <c r="M93" i="3" s="1"/>
  <c r="M42" i="3" a="1"/>
  <c r="M42" i="3" s="1"/>
  <c r="M20" i="3" a="1"/>
  <c r="M20" i="3" s="1"/>
  <c r="M39" i="3" a="1"/>
  <c r="M39" i="3" s="1"/>
  <c r="M37" i="3" a="1"/>
  <c r="M37" i="3" s="1"/>
  <c r="M36" i="3" a="1"/>
  <c r="M36" i="3" s="1"/>
  <c r="M59" i="3" a="1"/>
  <c r="M59" i="3" s="1"/>
  <c r="M86" i="3" a="1"/>
  <c r="M86" i="3" s="1"/>
  <c r="M194" i="3" a="1"/>
  <c r="M194" i="3" s="1"/>
  <c r="M142" i="3" a="1"/>
  <c r="M142" i="3" s="1"/>
  <c r="M19" i="3" a="1"/>
  <c r="M19" i="3" s="1"/>
  <c r="M144" i="3" a="1"/>
  <c r="M144" i="3" s="1"/>
  <c r="M199" i="3" a="1"/>
  <c r="M199" i="3" s="1"/>
  <c r="M43" i="3" a="1"/>
  <c r="M43" i="3" s="1"/>
  <c r="M198" i="3" a="1"/>
  <c r="M198" i="3" s="1"/>
  <c r="M57" i="3" a="1"/>
  <c r="M57" i="3" s="1"/>
  <c r="M97" i="3" a="1"/>
  <c r="M97" i="3" s="1"/>
  <c r="M15" i="3" a="1"/>
  <c r="M15" i="3" s="1"/>
  <c r="M94" i="3" a="1"/>
  <c r="M94" i="3" s="1"/>
  <c r="A216" i="3"/>
  <c r="C216" i="3" s="1"/>
  <c r="F16" i="4"/>
  <c r="F18" i="4"/>
  <c r="F19" i="4"/>
  <c r="B38" i="4"/>
  <c r="B32" i="4"/>
  <c r="D26" i="4" a="1"/>
  <c r="D26" i="4" s="1"/>
  <c r="C22" i="4" a="1"/>
  <c r="C22" i="4" s="1"/>
  <c r="C23" i="4" a="1"/>
  <c r="C23" i="4" s="1"/>
  <c r="B20" i="4"/>
  <c r="S58" i="1" a="1"/>
  <c r="S58" i="1" s="1"/>
  <c r="S36" i="1" a="1"/>
  <c r="S36" i="1" s="1"/>
  <c r="S59" i="1" a="1"/>
  <c r="S59" i="1" s="1"/>
  <c r="S37" i="1" a="1"/>
  <c r="S37" i="1" s="1"/>
  <c r="S60" i="1" a="1"/>
  <c r="S60" i="1" s="1"/>
  <c r="S66" i="1" a="1"/>
  <c r="S66" i="1" s="1"/>
  <c r="S44" i="1" a="1"/>
  <c r="S44" i="1" s="1"/>
  <c r="S67" i="1" a="1"/>
  <c r="S67" i="1" s="1"/>
  <c r="S45" i="1" a="1"/>
  <c r="S45" i="1" s="1"/>
  <c r="S46" i="1" a="1"/>
  <c r="S46" i="1" s="1"/>
  <c r="S47" i="1" a="1"/>
  <c r="S47" i="1" s="1"/>
  <c r="S68" i="1" a="1"/>
  <c r="S68" i="1" s="1"/>
  <c r="S69" i="1" a="1"/>
  <c r="S69" i="1" s="1"/>
  <c r="S57" i="1" a="1"/>
  <c r="S57" i="1" s="1"/>
  <c r="S64" i="1" a="1"/>
  <c r="S64" i="1" s="1"/>
  <c r="S63" i="1" a="1"/>
  <c r="S63" i="1" s="1"/>
  <c r="S35" i="1" a="1"/>
  <c r="S35" i="1" s="1"/>
  <c r="S62" i="1" a="1"/>
  <c r="S62" i="1" s="1"/>
  <c r="S41" i="1" a="1"/>
  <c r="S41" i="1" s="1"/>
  <c r="S51" i="1" a="1"/>
  <c r="S51" i="1" s="1"/>
  <c r="S54" i="1" a="1"/>
  <c r="S54" i="1" s="1"/>
  <c r="S40" i="1" a="1"/>
  <c r="S40" i="1" s="1"/>
  <c r="S48" i="1" a="1"/>
  <c r="S48" i="1" s="1"/>
  <c r="S49" i="1" a="1"/>
  <c r="S49" i="1" s="1"/>
  <c r="S65" i="1" a="1"/>
  <c r="S65" i="1" s="1"/>
  <c r="S61" i="1" a="1"/>
  <c r="S61" i="1" s="1"/>
  <c r="S53" i="1" a="1"/>
  <c r="S53" i="1" s="1"/>
  <c r="S50" i="1" a="1"/>
  <c r="S50" i="1" s="1"/>
  <c r="S38" i="1" a="1"/>
  <c r="S38" i="1" s="1"/>
  <c r="S42" i="1" a="1"/>
  <c r="S42" i="1" s="1"/>
  <c r="S39" i="1" a="1"/>
  <c r="S39" i="1" s="1"/>
  <c r="S33" i="1" a="1"/>
  <c r="S33" i="1" s="1"/>
  <c r="S55" i="1" a="1"/>
  <c r="S55" i="1" s="1"/>
  <c r="S43" i="1" a="1"/>
  <c r="S43" i="1" s="1"/>
  <c r="G9" i="2"/>
  <c r="J5" i="1"/>
  <c r="J18" i="1" s="1"/>
  <c r="G14" i="2"/>
  <c r="G13" i="2"/>
  <c r="G12" i="2"/>
  <c r="G11" i="2"/>
  <c r="G10" i="2"/>
  <c r="N145" i="3" l="1"/>
  <c r="N20" i="3"/>
  <c r="N97" i="3"/>
  <c r="N57" i="3"/>
  <c r="N74" i="3"/>
  <c r="N41" i="3"/>
  <c r="N2" i="3"/>
  <c r="O2" i="3" s="1"/>
  <c r="N90" i="3"/>
  <c r="N89" i="3"/>
  <c r="I28" i="5"/>
  <c r="L28" i="5" s="1"/>
  <c r="N34" i="3"/>
  <c r="I27" i="5"/>
  <c r="L27" i="5" s="1"/>
  <c r="I26" i="5"/>
  <c r="L26" i="5" s="1"/>
  <c r="N93" i="3"/>
  <c r="N19" i="3"/>
  <c r="N142" i="3"/>
  <c r="N143" i="3"/>
  <c r="N6" i="3"/>
  <c r="N5" i="3"/>
  <c r="N30" i="3"/>
  <c r="N40" i="3"/>
  <c r="N144" i="3"/>
  <c r="N162" i="3"/>
  <c r="N146" i="3"/>
  <c r="N60" i="3"/>
  <c r="N64" i="3"/>
  <c r="F4" i="2"/>
  <c r="I4" i="2" s="1"/>
  <c r="N66" i="3"/>
  <c r="N47" i="3"/>
  <c r="N49" i="3"/>
  <c r="N65" i="3"/>
  <c r="I7" i="5"/>
  <c r="L7" i="5" s="1"/>
  <c r="N141" i="3"/>
  <c r="N62" i="3"/>
  <c r="F3" i="2"/>
  <c r="I3" i="2" s="1"/>
  <c r="N192" i="3"/>
  <c r="N206" i="3"/>
  <c r="I6" i="5"/>
  <c r="L6" i="5" s="1"/>
  <c r="N131" i="3"/>
  <c r="N33" i="3"/>
  <c r="N31" i="3"/>
  <c r="N63" i="3"/>
  <c r="N152" i="3"/>
  <c r="N190" i="3"/>
  <c r="N126" i="3"/>
  <c r="F13" i="2"/>
  <c r="N112" i="3"/>
  <c r="N185" i="3"/>
  <c r="N197" i="3"/>
  <c r="N151" i="3"/>
  <c r="N105" i="3"/>
  <c r="N177" i="3"/>
  <c r="N150" i="3"/>
  <c r="N69" i="3"/>
  <c r="N25" i="3"/>
  <c r="N157" i="3"/>
  <c r="F5" i="2"/>
  <c r="I5" i="2" s="1"/>
  <c r="I19" i="5"/>
  <c r="L19" i="5" s="1"/>
  <c r="N137" i="3"/>
  <c r="N81" i="3"/>
  <c r="N175" i="3"/>
  <c r="N184" i="3"/>
  <c r="N117" i="3"/>
  <c r="N61" i="3"/>
  <c r="I9" i="5"/>
  <c r="L9" i="5" s="1"/>
  <c r="N172" i="3"/>
  <c r="N13" i="3"/>
  <c r="N103" i="3"/>
  <c r="N156" i="3"/>
  <c r="N191" i="3"/>
  <c r="N11" i="3"/>
  <c r="N85" i="3"/>
  <c r="N136" i="3"/>
  <c r="N27" i="3"/>
  <c r="N80" i="3"/>
  <c r="N70" i="3"/>
  <c r="N7" i="3"/>
  <c r="E3" i="6"/>
  <c r="N129" i="3"/>
  <c r="I3" i="5"/>
  <c r="L3" i="5" s="1"/>
  <c r="N101" i="3"/>
  <c r="N53" i="3"/>
  <c r="N77" i="3"/>
  <c r="N100" i="3"/>
  <c r="N183" i="3"/>
  <c r="N44" i="3"/>
  <c r="N189" i="3"/>
  <c r="N201" i="3"/>
  <c r="F8" i="2"/>
  <c r="I8" i="2" s="1"/>
  <c r="N140" i="3"/>
  <c r="N46" i="3"/>
  <c r="N133" i="3"/>
  <c r="N173" i="3"/>
  <c r="N134" i="3"/>
  <c r="I21" i="5"/>
  <c r="L21" i="5" s="1"/>
  <c r="N35" i="3"/>
  <c r="N71" i="3"/>
  <c r="N50" i="3"/>
  <c r="N9" i="3"/>
  <c r="I14" i="5"/>
  <c r="L14" i="5" s="1"/>
  <c r="F14" i="2"/>
  <c r="N160" i="3"/>
  <c r="N116" i="3"/>
  <c r="N99" i="3"/>
  <c r="I17" i="5"/>
  <c r="L17" i="5" s="1"/>
  <c r="N124" i="3"/>
  <c r="N170" i="3"/>
  <c r="N29" i="3"/>
  <c r="N180" i="3"/>
  <c r="F7" i="2"/>
  <c r="I7" i="2" s="1"/>
  <c r="N203" i="3"/>
  <c r="N166" i="3"/>
  <c r="N59" i="3"/>
  <c r="N96" i="3"/>
  <c r="N139" i="3"/>
  <c r="N178" i="3"/>
  <c r="N155" i="3"/>
  <c r="N208" i="3"/>
  <c r="N149" i="3"/>
  <c r="N123" i="3"/>
  <c r="N4" i="3"/>
  <c r="N118" i="3"/>
  <c r="N76" i="3"/>
  <c r="N73" i="3"/>
  <c r="N195" i="3"/>
  <c r="F10" i="2"/>
  <c r="N188" i="3"/>
  <c r="N207" i="3"/>
  <c r="N43" i="3"/>
  <c r="N163" i="3"/>
  <c r="N98" i="3"/>
  <c r="N56" i="3"/>
  <c r="I25" i="5"/>
  <c r="L25" i="5" s="1"/>
  <c r="N135" i="3"/>
  <c r="N194" i="3"/>
  <c r="N168" i="3"/>
  <c r="N187" i="3"/>
  <c r="N42" i="3"/>
  <c r="N83" i="3"/>
  <c r="N78" i="3"/>
  <c r="N36" i="3"/>
  <c r="I5" i="5"/>
  <c r="L5" i="5" s="1"/>
  <c r="N95" i="3"/>
  <c r="N154" i="3"/>
  <c r="N68" i="3"/>
  <c r="N167" i="3"/>
  <c r="N186" i="3"/>
  <c r="N3" i="3"/>
  <c r="N58" i="3"/>
  <c r="N16" i="3"/>
  <c r="F6" i="2"/>
  <c r="I6" i="2" s="1"/>
  <c r="N75" i="3"/>
  <c r="N114" i="3"/>
  <c r="N48" i="3"/>
  <c r="N147" i="3"/>
  <c r="N106" i="3"/>
  <c r="N82" i="3"/>
  <c r="N38" i="3"/>
  <c r="I10" i="5"/>
  <c r="L10" i="5" s="1"/>
  <c r="N193" i="3"/>
  <c r="N55" i="3"/>
  <c r="N94" i="3"/>
  <c r="N28" i="3"/>
  <c r="N87" i="3"/>
  <c r="N26" i="3"/>
  <c r="N182" i="3"/>
  <c r="N18" i="3"/>
  <c r="F11" i="2"/>
  <c r="N153" i="3"/>
  <c r="N15" i="3"/>
  <c r="N54" i="3"/>
  <c r="N8" i="3"/>
  <c r="N67" i="3"/>
  <c r="I20" i="5"/>
  <c r="L20" i="5" s="1"/>
  <c r="N165" i="3"/>
  <c r="I12" i="5"/>
  <c r="L12" i="5" s="1"/>
  <c r="N181" i="3"/>
  <c r="N113" i="3"/>
  <c r="I2" i="5"/>
  <c r="L2" i="5" s="1"/>
  <c r="N14" i="3"/>
  <c r="N79" i="3"/>
  <c r="N51" i="3"/>
  <c r="D66" i="4"/>
  <c r="N202" i="3"/>
  <c r="N164" i="3"/>
  <c r="F2" i="2"/>
  <c r="I2" i="2" s="1"/>
  <c r="N196" i="3"/>
  <c r="N161" i="3"/>
  <c r="I24" i="5"/>
  <c r="L24" i="5" s="1"/>
  <c r="N130" i="3"/>
  <c r="N32" i="3"/>
  <c r="I22" i="5"/>
  <c r="L22" i="5" s="1"/>
  <c r="N127" i="3"/>
  <c r="N122" i="3"/>
  <c r="N84" i="3"/>
  <c r="N179" i="3"/>
  <c r="N176" i="3"/>
  <c r="N199" i="3"/>
  <c r="I4" i="5"/>
  <c r="L4" i="5" s="1"/>
  <c r="N110" i="3"/>
  <c r="N12" i="3"/>
  <c r="N119" i="3"/>
  <c r="N107" i="3"/>
  <c r="N205" i="3"/>
  <c r="N104" i="3"/>
  <c r="N102" i="3"/>
  <c r="N39" i="3"/>
  <c r="N37" i="3"/>
  <c r="I8" i="5"/>
  <c r="L8" i="5" s="1"/>
  <c r="N121" i="3"/>
  <c r="N21" i="3"/>
  <c r="N10" i="3"/>
  <c r="N132" i="3"/>
  <c r="N148" i="3"/>
  <c r="N171" i="3"/>
  <c r="N125" i="3"/>
  <c r="N24" i="3"/>
  <c r="N22" i="3"/>
  <c r="N198" i="3"/>
  <c r="N17" i="3"/>
  <c r="F9" i="2"/>
  <c r="N200" i="3"/>
  <c r="I15" i="5"/>
  <c r="L15" i="5" s="1"/>
  <c r="N209" i="3"/>
  <c r="N92" i="3"/>
  <c r="N128" i="3"/>
  <c r="N111" i="3"/>
  <c r="N45" i="3"/>
  <c r="I18" i="5"/>
  <c r="L18" i="5" s="1"/>
  <c r="I16" i="5"/>
  <c r="L16" i="5" s="1"/>
  <c r="N158" i="3"/>
  <c r="I11" i="5"/>
  <c r="L11" i="5" s="1"/>
  <c r="E2" i="6"/>
  <c r="N115" i="3"/>
  <c r="N120" i="3"/>
  <c r="N169" i="3"/>
  <c r="N72" i="3"/>
  <c r="N108" i="3"/>
  <c r="N91" i="3"/>
  <c r="N204" i="3"/>
  <c r="N23" i="3"/>
  <c r="N86" i="3"/>
  <c r="N138" i="3"/>
  <c r="I13" i="5"/>
  <c r="L13" i="5" s="1"/>
  <c r="N174" i="3"/>
  <c r="N159" i="3"/>
  <c r="N109" i="3"/>
  <c r="N52" i="3"/>
  <c r="N88" i="3"/>
  <c r="B75" i="4" a="1"/>
  <c r="B75" i="4" s="1"/>
  <c r="D75" i="4" s="1"/>
  <c r="B81" i="4" a="1"/>
  <c r="B81" i="4" s="1"/>
  <c r="D81" i="4" s="1"/>
  <c r="B67" i="4" a="1"/>
  <c r="B67" i="4" s="1"/>
  <c r="D67" i="4" s="1"/>
  <c r="B83" i="4" a="1"/>
  <c r="B83" i="4" s="1"/>
  <c r="D83" i="4" s="1"/>
  <c r="M91" i="3" a="1"/>
  <c r="M91" i="3" s="1"/>
  <c r="M48" i="3" a="1"/>
  <c r="M48" i="3" s="1"/>
  <c r="M23" i="3" a="1"/>
  <c r="M23" i="3" s="1"/>
  <c r="M25" i="3" a="1"/>
  <c r="M25" i="3" s="1"/>
  <c r="M16" i="3" a="1"/>
  <c r="M16" i="3" s="1"/>
  <c r="M47" i="3" a="1"/>
  <c r="M47" i="3" s="1"/>
  <c r="M159" i="3" a="1"/>
  <c r="M159" i="3" s="1"/>
  <c r="M200" i="3" a="1"/>
  <c r="M200" i="3" s="1"/>
  <c r="M92" i="3" a="1"/>
  <c r="M92" i="3" s="1"/>
  <c r="M46" i="3" a="1"/>
  <c r="M46" i="3" s="1"/>
  <c r="M17" i="3" a="1"/>
  <c r="M17" i="3" s="1"/>
  <c r="M106" i="3" a="1"/>
  <c r="M106" i="3" s="1"/>
  <c r="M24" i="3" a="1"/>
  <c r="M24" i="3" s="1"/>
  <c r="M201" i="3" a="1"/>
  <c r="M201" i="3" s="1"/>
  <c r="M64" i="3" a="1"/>
  <c r="M64" i="3" s="1"/>
  <c r="A217" i="3"/>
  <c r="C217" i="3" s="1"/>
  <c r="B21" i="4"/>
  <c r="B68" i="4" s="1" a="1"/>
  <c r="B68" i="4" s="1"/>
  <c r="D68" i="4" s="1"/>
  <c r="B39" i="4"/>
  <c r="F20" i="4"/>
  <c r="D25" i="4" a="1"/>
  <c r="D25" i="4" s="1"/>
  <c r="S70" i="1" a="1"/>
  <c r="S70" i="1" s="1"/>
  <c r="S72" i="1" a="1"/>
  <c r="S72" i="1" s="1"/>
  <c r="S71" i="1" a="1"/>
  <c r="S71" i="1" s="1"/>
  <c r="S73" i="1" a="1"/>
  <c r="S73" i="1" s="1"/>
  <c r="J6" i="1"/>
  <c r="J19" i="1" s="1"/>
  <c r="M152" i="3" l="1" a="1"/>
  <c r="M152" i="3" s="1"/>
  <c r="M207" i="3" a="1"/>
  <c r="M207" i="3" s="1"/>
  <c r="M45" i="3" a="1"/>
  <c r="M45" i="3" s="1"/>
  <c r="M62" i="3" a="1"/>
  <c r="M62" i="3" s="1"/>
  <c r="M208" i="3" a="1"/>
  <c r="M208" i="3" s="1"/>
  <c r="M61" i="3" a="1"/>
  <c r="M61" i="3" s="1"/>
  <c r="M99" i="3" a="1"/>
  <c r="M99" i="3" s="1"/>
  <c r="M44" i="3" a="1"/>
  <c r="M44" i="3" s="1"/>
  <c r="M100" i="3" a="1"/>
  <c r="M100" i="3" s="1"/>
  <c r="M151" i="3" a="1"/>
  <c r="M151" i="3" s="1"/>
  <c r="A218" i="3"/>
  <c r="C218" i="3" s="1"/>
  <c r="B22" i="4"/>
  <c r="F21" i="4"/>
  <c r="S78" i="1" a="1"/>
  <c r="S78" i="1" s="1"/>
  <c r="S74" i="1" a="1"/>
  <c r="S74" i="1" s="1"/>
  <c r="S80" i="1" a="1"/>
  <c r="S80" i="1" s="1"/>
  <c r="S76" i="1" a="1"/>
  <c r="S76" i="1" s="1"/>
  <c r="S77" i="1" a="1"/>
  <c r="S77" i="1" s="1"/>
  <c r="S75" i="1" a="1"/>
  <c r="S75" i="1" s="1"/>
  <c r="S79" i="1" a="1"/>
  <c r="S79" i="1" s="1"/>
  <c r="J7" i="1"/>
  <c r="J20" i="1" s="1"/>
  <c r="B76" i="4" l="1" a="1"/>
  <c r="B76" i="4" s="1"/>
  <c r="D76" i="4" s="1"/>
  <c r="B69" i="4" a="1"/>
  <c r="B69" i="4" s="1"/>
  <c r="D69" i="4" s="1"/>
  <c r="M68" i="3" a="1"/>
  <c r="M68" i="3" s="1"/>
  <c r="M104" i="3" a="1"/>
  <c r="M104" i="3" s="1"/>
  <c r="M189" i="3" a="1"/>
  <c r="M189" i="3" s="1"/>
  <c r="M157" i="3" a="1"/>
  <c r="M157" i="3" s="1"/>
  <c r="M63" i="3" a="1"/>
  <c r="M63" i="3" s="1"/>
  <c r="M65" i="3" a="1"/>
  <c r="M65" i="3" s="1"/>
  <c r="M161" i="3" a="1"/>
  <c r="M161" i="3" s="1"/>
  <c r="M84" i="3" a="1"/>
  <c r="M84" i="3" s="1"/>
  <c r="M190" i="3" a="1"/>
  <c r="M190" i="3" s="1"/>
  <c r="M83" i="3" a="1"/>
  <c r="M83" i="3" s="1"/>
  <c r="M85" i="3" a="1"/>
  <c r="M85" i="3" s="1"/>
  <c r="M105" i="3" a="1"/>
  <c r="M105" i="3" s="1"/>
  <c r="M133" i="3" a="1"/>
  <c r="M133" i="3" s="1"/>
  <c r="M135" i="3" a="1"/>
  <c r="M135" i="3" s="1"/>
  <c r="M153" i="3" a="1"/>
  <c r="M153" i="3" s="1"/>
  <c r="M109" i="3" a="1"/>
  <c r="M109" i="3" s="1"/>
  <c r="M136" i="3" a="1"/>
  <c r="M136" i="3" s="1"/>
  <c r="M101" i="3" a="1"/>
  <c r="M101" i="3" s="1"/>
  <c r="M156" i="3" a="1"/>
  <c r="M156" i="3" s="1"/>
  <c r="A219" i="3"/>
  <c r="C219" i="3" s="1"/>
  <c r="B23" i="4"/>
  <c r="F22" i="4"/>
  <c r="S81" i="1" a="1"/>
  <c r="S81" i="1" s="1"/>
  <c r="J8" i="1"/>
  <c r="J21" i="1" s="1"/>
  <c r="B79" i="4" l="1" a="1"/>
  <c r="B79" i="4" s="1"/>
  <c r="D79" i="4" s="1"/>
  <c r="B70" i="4" a="1"/>
  <c r="B70" i="4" s="1"/>
  <c r="D70" i="4" s="1"/>
  <c r="B82" i="4" a="1"/>
  <c r="B82" i="4" s="1"/>
  <c r="D82" i="4" s="1"/>
  <c r="M188" i="3" a="1"/>
  <c r="M188" i="3" s="1"/>
  <c r="M191" i="3" a="1"/>
  <c r="M191" i="3" s="1"/>
  <c r="M118" i="3" a="1"/>
  <c r="M118" i="3" s="1"/>
  <c r="M88" i="3" a="1"/>
  <c r="M88" i="3" s="1"/>
  <c r="M182" i="3" a="1"/>
  <c r="M182" i="3" s="1"/>
  <c r="M186" i="3" a="1"/>
  <c r="M186" i="3" s="1"/>
  <c r="M150" i="3" a="1"/>
  <c r="M150" i="3" s="1"/>
  <c r="M196" i="3" a="1"/>
  <c r="M196" i="3" s="1"/>
  <c r="M179" i="3" a="1"/>
  <c r="M179" i="3" s="1"/>
  <c r="M160" i="3" a="1"/>
  <c r="M160" i="3" s="1"/>
  <c r="M127" i="3" a="1"/>
  <c r="M127" i="3" s="1"/>
  <c r="M206" i="3" a="1"/>
  <c r="M206" i="3" s="1"/>
  <c r="M170" i="3" a="1"/>
  <c r="M170" i="3" s="1"/>
  <c r="M98" i="3" a="1"/>
  <c r="M98" i="3" s="1"/>
  <c r="M180" i="3" a="1"/>
  <c r="M180" i="3" s="1"/>
  <c r="M81" i="3" a="1"/>
  <c r="M81" i="3" s="1"/>
  <c r="M134" i="3" a="1"/>
  <c r="M134" i="3" s="1"/>
  <c r="M131" i="3" a="1"/>
  <c r="M131" i="3" s="1"/>
  <c r="M184" i="3" a="1"/>
  <c r="M184" i="3" s="1"/>
  <c r="M197" i="3" a="1"/>
  <c r="M197" i="3" s="1"/>
  <c r="M130" i="3" a="1"/>
  <c r="M130" i="3" s="1"/>
  <c r="M187" i="3" a="1"/>
  <c r="M187" i="3" s="1"/>
  <c r="M195" i="3" a="1"/>
  <c r="M195" i="3" s="1"/>
  <c r="M178" i="3" a="1"/>
  <c r="M178" i="3" s="1"/>
  <c r="M128" i="3" a="1"/>
  <c r="M128" i="3" s="1"/>
  <c r="M107" i="3" a="1"/>
  <c r="M107" i="3" s="1"/>
  <c r="M66" i="3" a="1"/>
  <c r="M66" i="3" s="1"/>
  <c r="M148" i="3" a="1"/>
  <c r="M148" i="3" s="1"/>
  <c r="M192" i="3" a="1"/>
  <c r="M192" i="3" s="1"/>
  <c r="M203" i="3" a="1"/>
  <c r="M203" i="3" s="1"/>
  <c r="M141" i="3" a="1"/>
  <c r="M141" i="3" s="1"/>
  <c r="M125" i="3" a="1"/>
  <c r="M125" i="3" s="1"/>
  <c r="M96" i="3" a="1"/>
  <c r="M96" i="3" s="1"/>
  <c r="M108" i="3" a="1"/>
  <c r="M108" i="3" s="1"/>
  <c r="M158" i="3" a="1"/>
  <c r="M158" i="3" s="1"/>
  <c r="M138" i="3" a="1"/>
  <c r="M138" i="3" s="1"/>
  <c r="M67" i="3" a="1"/>
  <c r="M67" i="3" s="1"/>
  <c r="M80" i="3" a="1"/>
  <c r="M80" i="3" s="1"/>
  <c r="M82" i="3" a="1"/>
  <c r="M82" i="3" s="1"/>
  <c r="M117" i="3" a="1"/>
  <c r="M117" i="3" s="1"/>
  <c r="M132" i="3" a="1"/>
  <c r="M132" i="3" s="1"/>
  <c r="M137" i="3" a="1"/>
  <c r="M137" i="3" s="1"/>
  <c r="M129" i="3" a="1"/>
  <c r="M129" i="3" s="1"/>
  <c r="M183" i="3" a="1"/>
  <c r="M183" i="3" s="1"/>
  <c r="M185" i="3" a="1"/>
  <c r="M185" i="3" s="1"/>
  <c r="M139" i="3" a="1"/>
  <c r="M139" i="3" s="1"/>
  <c r="M171" i="3" a="1"/>
  <c r="M171" i="3" s="1"/>
  <c r="M140" i="3" a="1"/>
  <c r="M140" i="3" s="1"/>
  <c r="A220" i="3"/>
  <c r="C220" i="3" s="1"/>
  <c r="B24" i="4"/>
  <c r="F23" i="4"/>
  <c r="J9" i="1"/>
  <c r="J22" i="1" s="1"/>
  <c r="S82" i="1" a="1"/>
  <c r="S82" i="1" s="1"/>
  <c r="J10" i="1"/>
  <c r="J23" i="1" s="1"/>
  <c r="B71" i="4" l="1" a="1"/>
  <c r="B71" i="4" s="1"/>
  <c r="D71" i="4" s="1"/>
  <c r="B77" i="4" a="1"/>
  <c r="B77" i="4" s="1"/>
  <c r="D77" i="4" s="1"/>
  <c r="M209" i="3" a="1"/>
  <c r="M209" i="3" s="1"/>
  <c r="M102" i="3" a="1"/>
  <c r="M102" i="3" s="1"/>
  <c r="M154" i="3" a="1"/>
  <c r="M154" i="3" s="1"/>
  <c r="M103" i="3" a="1"/>
  <c r="M103" i="3" s="1"/>
  <c r="M155" i="3" a="1"/>
  <c r="M155" i="3" s="1"/>
  <c r="B25" i="4"/>
  <c r="B72" i="4" s="1" a="1"/>
  <c r="B72" i="4" s="1"/>
  <c r="D72" i="4" s="1"/>
  <c r="F24" i="4"/>
  <c r="S85" i="1" a="1"/>
  <c r="S85" i="1" s="1"/>
  <c r="S83" i="1" a="1"/>
  <c r="S83" i="1" s="1"/>
  <c r="S84" i="1" a="1"/>
  <c r="S84" i="1" s="1"/>
  <c r="J11" i="1"/>
  <c r="J24" i="1" s="1"/>
  <c r="B26" i="4" l="1"/>
  <c r="F25" i="4"/>
  <c r="S90" i="1" a="1"/>
  <c r="S90" i="1" s="1"/>
  <c r="S93" i="1" a="1"/>
  <c r="S93" i="1" s="1"/>
  <c r="S91" i="1" a="1"/>
  <c r="S91" i="1" s="1"/>
  <c r="S92" i="1" a="1"/>
  <c r="S92" i="1" s="1"/>
  <c r="S88" i="1" a="1"/>
  <c r="S88" i="1" s="1"/>
  <c r="S89" i="1" a="1"/>
  <c r="S89" i="1" s="1"/>
  <c r="S87" i="1" a="1"/>
  <c r="S87" i="1" s="1"/>
  <c r="S86" i="1" a="1"/>
  <c r="S86" i="1" s="1"/>
  <c r="J12" i="1"/>
  <c r="J25" i="1" s="1"/>
  <c r="F26" i="4" l="1"/>
  <c r="B78" i="4" a="1"/>
  <c r="B78" i="4" s="1"/>
  <c r="D78" i="4" s="1"/>
  <c r="B73" i="4" a="1"/>
  <c r="B73" i="4" s="1"/>
  <c r="D73" i="4" s="1"/>
  <c r="S94" i="1" a="1"/>
  <c r="S94" i="1" s="1"/>
  <c r="J13" i="1"/>
  <c r="J26" i="1" s="1"/>
  <c r="S96" i="1" l="1" a="1"/>
  <c r="S96" i="1" s="1"/>
  <c r="S95" i="1" a="1"/>
  <c r="S9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<sst xmlns="http://schemas.openxmlformats.org/spreadsheetml/2006/main" count="1806" uniqueCount="290">
  <si>
    <t>Espécie</t>
  </si>
  <si>
    <t>Nome comum</t>
  </si>
  <si>
    <t>Variedade</t>
  </si>
  <si>
    <t>Tipo Plantação</t>
  </si>
  <si>
    <t>Sementeira/Plantação</t>
  </si>
  <si>
    <t>Poda</t>
  </si>
  <si>
    <t>Floração</t>
  </si>
  <si>
    <t>Colheita</t>
  </si>
  <si>
    <t>Prunus domestica</t>
  </si>
  <si>
    <t>Ameixoeira</t>
  </si>
  <si>
    <t>RAINHA CLAUDIA CARANGUEJEIRA</t>
  </si>
  <si>
    <t>Permanente</t>
  </si>
  <si>
    <t>Novembro a dezembro</t>
  </si>
  <si>
    <t>Fevereiro a março</t>
  </si>
  <si>
    <t>Julho a agosto</t>
  </si>
  <si>
    <t>PRESIDENT</t>
  </si>
  <si>
    <t>STANLEY</t>
  </si>
  <si>
    <t>ANGELENO</t>
  </si>
  <si>
    <t>BLACK BEAUTY</t>
  </si>
  <si>
    <t>BLACK STAR</t>
  </si>
  <si>
    <t>BLACK GOLD</t>
  </si>
  <si>
    <t>BLACK DIAMOND</t>
  </si>
  <si>
    <t>BLACK AMBER</t>
  </si>
  <si>
    <t>BLACK SPLENDOR</t>
  </si>
  <si>
    <t>FORTUNA</t>
  </si>
  <si>
    <t>FRIAR</t>
  </si>
  <si>
    <t>EL DORADO</t>
  </si>
  <si>
    <t>ELEPHANT HEART</t>
  </si>
  <si>
    <t>GOLDEN JAPAN</t>
  </si>
  <si>
    <t>HARRY PITCHON</t>
  </si>
  <si>
    <t>LAETITIA</t>
  </si>
  <si>
    <t>METLEY</t>
  </si>
  <si>
    <t>MIRABELLE DE NANCY</t>
  </si>
  <si>
    <t>QUEEN ROSE</t>
  </si>
  <si>
    <t>RED BEAUT</t>
  </si>
  <si>
    <t>SANTA ROSA</t>
  </si>
  <si>
    <t>SHIRO</t>
  </si>
  <si>
    <t>SUNGOLD</t>
  </si>
  <si>
    <t>WILSON PERFECTION</t>
  </si>
  <si>
    <t>AUTUMN GIANT</t>
  </si>
  <si>
    <t>Prunus armeniaca</t>
  </si>
  <si>
    <t>Damasqueiro</t>
  </si>
  <si>
    <t>BULIDA</t>
  </si>
  <si>
    <t>CANINO</t>
  </si>
  <si>
    <t>LIABAUD</t>
  </si>
  <si>
    <t>MAILLOT JAUNE</t>
  </si>
  <si>
    <t>POLONAIS</t>
  </si>
  <si>
    <t>Malus domestica</t>
  </si>
  <si>
    <t>Macieira</t>
  </si>
  <si>
    <t>AKANE</t>
  </si>
  <si>
    <t>Março a abril</t>
  </si>
  <si>
    <t>Agosto a setembro</t>
  </si>
  <si>
    <t>BELGOLDEN</t>
  </si>
  <si>
    <t>BRAVO DE ESMOLFE</t>
  </si>
  <si>
    <t>CASA NOVA DE ALCOBAÇA</t>
  </si>
  <si>
    <t>EROVAN</t>
  </si>
  <si>
    <t>FUJI</t>
  </si>
  <si>
    <t>GRANNY SMITH</t>
  </si>
  <si>
    <t>GOLDEN DELICIOUS</t>
  </si>
  <si>
    <t>HI-EARLY</t>
  </si>
  <si>
    <t>JONAGORED</t>
  </si>
  <si>
    <t>LYSGOLDEN</t>
  </si>
  <si>
    <t>MUTSU</t>
  </si>
  <si>
    <t>PORTA DA LOJA</t>
  </si>
  <si>
    <t>Janeiro</t>
  </si>
  <si>
    <t>Abril a maio</t>
  </si>
  <si>
    <t>REINETTE OU CANADA</t>
  </si>
  <si>
    <t>REINETTE OU GRAND FAY</t>
  </si>
  <si>
    <t>RISCADINHA DE PALMELA</t>
  </si>
  <si>
    <t>ROYAL GALA</t>
  </si>
  <si>
    <t>REDCHIEF</t>
  </si>
  <si>
    <t>STARKING</t>
  </si>
  <si>
    <t>SUMMER RED</t>
  </si>
  <si>
    <t>NOIVA</t>
  </si>
  <si>
    <t>OLHO ABERTO</t>
  </si>
  <si>
    <t>CAMOESA ROSA</t>
  </si>
  <si>
    <t>MALÁPIO</t>
  </si>
  <si>
    <t>GRONHO DOCE</t>
  </si>
  <si>
    <t>PÉ DE BOI </t>
  </si>
  <si>
    <t>PINOVA</t>
  </si>
  <si>
    <t>PARDO LINDO</t>
  </si>
  <si>
    <t>PIPO DE BASTO</t>
  </si>
  <si>
    <t>PRIMA</t>
  </si>
  <si>
    <t>QUERINA</t>
  </si>
  <si>
    <t>VISTA BELLA</t>
  </si>
  <si>
    <t>GOLDEN SMOOTHEE</t>
  </si>
  <si>
    <t>GOLDEN SUPREMA</t>
  </si>
  <si>
    <t>GLOSTER 69</t>
  </si>
  <si>
    <t>FREEDOM</t>
  </si>
  <si>
    <t>Pyrus pyrifolia</t>
  </si>
  <si>
    <t>Pera Nashi</t>
  </si>
  <si>
    <t>SNINSEIKI</t>
  </si>
  <si>
    <t>KUMOI</t>
  </si>
  <si>
    <t>HOSUI</t>
  </si>
  <si>
    <t>NIJISSEIKI</t>
  </si>
  <si>
    <t>Daucus carota subsp. Sativus</t>
  </si>
  <si>
    <t>Cenoura</t>
  </si>
  <si>
    <t>Carson Hybrid</t>
  </si>
  <si>
    <t>Temporária</t>
  </si>
  <si>
    <t>80 dias</t>
  </si>
  <si>
    <t>Red Cored Chantenay</t>
  </si>
  <si>
    <t>Danvers Half Long</t>
  </si>
  <si>
    <t>Imperator 58</t>
  </si>
  <si>
    <t>Sugarsnax Hybrid</t>
  </si>
  <si>
    <t>Nelson Hybrid</t>
  </si>
  <si>
    <t>Scarlet Nantes</t>
  </si>
  <si>
    <t>Lupinus luteus</t>
  </si>
  <si>
    <t>Tremoço</t>
  </si>
  <si>
    <t>Amarelo</t>
  </si>
  <si>
    <t>Lupinus albus</t>
  </si>
  <si>
    <t>Branco</t>
  </si>
  <si>
    <t>Zea mays</t>
  </si>
  <si>
    <t>Milho</t>
  </si>
  <si>
    <t>MAS 24.C</t>
  </si>
  <si>
    <t>Abril a junho</t>
  </si>
  <si>
    <t>Julho a setembro</t>
  </si>
  <si>
    <t>Doce Golden Bantam</t>
  </si>
  <si>
    <t>Brassica rapa</t>
  </si>
  <si>
    <t>Nabo greleiro</t>
  </si>
  <si>
    <t>Senhora Conceição</t>
  </si>
  <si>
    <t>Março a setembro</t>
  </si>
  <si>
    <t>Junho a fevereiro</t>
  </si>
  <si>
    <t>Olea europaea</t>
  </si>
  <si>
    <t>Oliveira</t>
  </si>
  <si>
    <t>COBRANÇOSA</t>
  </si>
  <si>
    <t>Outubro a novembro</t>
  </si>
  <si>
    <t>ARBEQUINA</t>
  </si>
  <si>
    <t>HOJIBLANCA</t>
  </si>
  <si>
    <t>NEGRINHA DO FREIXO</t>
  </si>
  <si>
    <t>PICUAL</t>
  </si>
  <si>
    <t>MAÇANILHA</t>
  </si>
  <si>
    <t>CONSERVA DE ELVAS</t>
  </si>
  <si>
    <t>Designação</t>
  </si>
  <si>
    <t>Fabricante</t>
  </si>
  <si>
    <t>Formato</t>
  </si>
  <si>
    <t>Tipo</t>
  </si>
  <si>
    <t>Aplicação</t>
  </si>
  <si>
    <t>C1</t>
  </si>
  <si>
    <t>Perc.</t>
  </si>
  <si>
    <t>C2</t>
  </si>
  <si>
    <t>C3</t>
  </si>
  <si>
    <t>C4</t>
  </si>
  <si>
    <t>Calda Bordalesa ASCENZA</t>
  </si>
  <si>
    <t>ASCENZA</t>
  </si>
  <si>
    <t>Pó molhável</t>
  </si>
  <si>
    <t>Fitofármaco</t>
  </si>
  <si>
    <t>Fungicida</t>
  </si>
  <si>
    <t>CU</t>
  </si>
  <si>
    <t>Enxofre Bayer 80 WG</t>
  </si>
  <si>
    <t>Bayer</t>
  </si>
  <si>
    <t>S</t>
  </si>
  <si>
    <t>Patentkali</t>
  </si>
  <si>
    <t>K+S</t>
  </si>
  <si>
    <t>Granulado</t>
  </si>
  <si>
    <t>Adubo</t>
  </si>
  <si>
    <t>Adubo solo</t>
  </si>
  <si>
    <t>K</t>
  </si>
  <si>
    <t>Mg</t>
  </si>
  <si>
    <t>ESTA Kieserit</t>
  </si>
  <si>
    <t>EPSO Microtop</t>
  </si>
  <si>
    <t>Adubo foliar+Fertirrega</t>
  </si>
  <si>
    <t>B</t>
  </si>
  <si>
    <t>Mn</t>
  </si>
  <si>
    <t>EPSO Top</t>
  </si>
  <si>
    <t>Adubo foliar</t>
  </si>
  <si>
    <t>Biocal CaCo3</t>
  </si>
  <si>
    <t>Biocal</t>
  </si>
  <si>
    <t>Corretor</t>
  </si>
  <si>
    <t>Correção solo</t>
  </si>
  <si>
    <t>CaCO3</t>
  </si>
  <si>
    <t>MgCO3</t>
  </si>
  <si>
    <t>Biocal Composto</t>
  </si>
  <si>
    <t>Pó</t>
  </si>
  <si>
    <t>MgO</t>
  </si>
  <si>
    <t>ID</t>
  </si>
  <si>
    <t>Unidade</t>
  </si>
  <si>
    <t>Parcela</t>
  </si>
  <si>
    <t>Campo da bouça</t>
  </si>
  <si>
    <t>ha</t>
  </si>
  <si>
    <t>Campo grande</t>
  </si>
  <si>
    <t>Campo do poço</t>
  </si>
  <si>
    <t>Lameiro da ponte</t>
  </si>
  <si>
    <t>Lameiro do moinho</t>
  </si>
  <si>
    <t>Armazém</t>
  </si>
  <si>
    <t>Espigueiro</t>
  </si>
  <si>
    <t>m2</t>
  </si>
  <si>
    <t>Armazém novo</t>
  </si>
  <si>
    <t>Garagem</t>
  </si>
  <si>
    <t>Armazém grande</t>
  </si>
  <si>
    <t>Moinho</t>
  </si>
  <si>
    <t>Rega</t>
  </si>
  <si>
    <t>Tanque do campo grande</t>
  </si>
  <si>
    <t>m3</t>
  </si>
  <si>
    <t>Cultura</t>
  </si>
  <si>
    <t>Data Inicial</t>
  </si>
  <si>
    <t>Data Final</t>
  </si>
  <si>
    <t>Quantidade</t>
  </si>
  <si>
    <t>Unidades</t>
  </si>
  <si>
    <t>Campo Grande</t>
  </si>
  <si>
    <t>Oliveira Galega</t>
  </si>
  <si>
    <t>un</t>
  </si>
  <si>
    <t>Oliveira Picual</t>
  </si>
  <si>
    <t>Macieira Jonagored</t>
  </si>
  <si>
    <t>Macieira Fuji</t>
  </si>
  <si>
    <t>Macieira Royal Gala</t>
  </si>
  <si>
    <t>Tremoço Amarelo</t>
  </si>
  <si>
    <t>Milho Doce Golden Bantam</t>
  </si>
  <si>
    <t>ID Parcela</t>
  </si>
  <si>
    <t>Operação</t>
  </si>
  <si>
    <t>Modo</t>
  </si>
  <si>
    <t>Data</t>
  </si>
  <si>
    <t>Fator de produção</t>
  </si>
  <si>
    <t>Plantação</t>
  </si>
  <si>
    <t>Sementeira</t>
  </si>
  <si>
    <t>Incorporação no solo</t>
  </si>
  <si>
    <t>Fertilização</t>
  </si>
  <si>
    <t>Foliar</t>
  </si>
  <si>
    <t>kg</t>
  </si>
  <si>
    <t>Horta nova</t>
  </si>
  <si>
    <t>Horta Nova</t>
  </si>
  <si>
    <t>Cenoura Scarlet Nantes</t>
  </si>
  <si>
    <t>Cenoura Nelson Hybrid</t>
  </si>
  <si>
    <t>Nabo</t>
  </si>
  <si>
    <t>S. Cosme</t>
  </si>
  <si>
    <t>Fevereiro a abril, agosto a outubro</t>
  </si>
  <si>
    <t>90 dias</t>
  </si>
  <si>
    <t>Nabo S. Cosme</t>
  </si>
  <si>
    <t>Solo</t>
  </si>
  <si>
    <t>Sonata</t>
  </si>
  <si>
    <t>Líquido</t>
  </si>
  <si>
    <t>Bacillus pumilus</t>
  </si>
  <si>
    <t xml:space="preserve">FLiPPER </t>
  </si>
  <si>
    <t>Insecticida</t>
  </si>
  <si>
    <t>Emulsão de óleo em água</t>
  </si>
  <si>
    <t>Ácidos gordos (na forma de sais de potássio)</t>
  </si>
  <si>
    <t>Terpenóides</t>
  </si>
  <si>
    <t>Requiem Prime</t>
  </si>
  <si>
    <t>Nabo greleiro Senhora Conceição</t>
  </si>
  <si>
    <t>Milho MAS 24.C</t>
  </si>
  <si>
    <t>Vitis vinifera</t>
  </si>
  <si>
    <t>Videira</t>
  </si>
  <si>
    <t>Dona Maria</t>
  </si>
  <si>
    <t>Maio</t>
  </si>
  <si>
    <t>Dezembro a janeiro</t>
  </si>
  <si>
    <t>Junho a agosto</t>
  </si>
  <si>
    <t>Vinha</t>
  </si>
  <si>
    <t>Videira Dona Maria</t>
  </si>
  <si>
    <t>Cardinal</t>
  </si>
  <si>
    <t>Dimensão</t>
  </si>
  <si>
    <t>Poço da bouça</t>
  </si>
  <si>
    <t>Videira Cardinal</t>
  </si>
  <si>
    <t>Aplicação fitofármaco</t>
  </si>
  <si>
    <t>Cenoura Sugarsnax Hybrid</t>
  </si>
  <si>
    <t>Cenoura Danvers Half Long</t>
  </si>
  <si>
    <t>TipoDeEdificio</t>
  </si>
  <si>
    <t>Designacao</t>
  </si>
  <si>
    <t>Galega</t>
  </si>
  <si>
    <t>CulturaID</t>
  </si>
  <si>
    <t>Tabela EspecieVegetal</t>
  </si>
  <si>
    <t>TipoCultura</t>
  </si>
  <si>
    <t>TipoCulturaID</t>
  </si>
  <si>
    <t>DesignaçãoTipoCultura</t>
  </si>
  <si>
    <t>FatorProducao</t>
  </si>
  <si>
    <t>TipoFatorProducao</t>
  </si>
  <si>
    <t>Elemento</t>
  </si>
  <si>
    <t>EspecieID</t>
  </si>
  <si>
    <t>CULTURA:</t>
  </si>
  <si>
    <t>Designaçao</t>
  </si>
  <si>
    <t>UnidadeID</t>
  </si>
  <si>
    <t>TipoID</t>
  </si>
  <si>
    <t>NomeComercial</t>
  </si>
  <si>
    <t>FatorProducaoID</t>
  </si>
  <si>
    <t>FabricanteID</t>
  </si>
  <si>
    <t>FormatoID</t>
  </si>
  <si>
    <t>TipoFatorProducaoID</t>
  </si>
  <si>
    <t>FatorProducao_Elemento</t>
  </si>
  <si>
    <t>ElementoID</t>
  </si>
  <si>
    <t>TipoOperacaoID</t>
  </si>
  <si>
    <t>DesignacaoTipoOperacao</t>
  </si>
  <si>
    <t>TipoOperacao</t>
  </si>
  <si>
    <t>OperacaoID</t>
  </si>
  <si>
    <t>WELLSPUR DELICIOUS</t>
  </si>
  <si>
    <t>ViaAplicacao</t>
  </si>
  <si>
    <t>DesignacaoViaAplicacao</t>
  </si>
  <si>
    <t>ViaAplicacaoID</t>
  </si>
  <si>
    <t>ViaAplicacao_FatorProducao</t>
  </si>
  <si>
    <t>aux</t>
  </si>
  <si>
    <t>CultivoID</t>
  </si>
  <si>
    <t>CREATE TABLE Cultivo (CultivoID number(10) NOT NULL, CulturaID number(10) NOT NULL, ParcelaID number(10) NOT NULL, DataInicio date NOT NULL, DataFim date, Quantidade number(10) NOT NULL, UnidadeID number(10), PRIMARY KEY (CultivoID));</t>
  </si>
  <si>
    <t>CREATE TABLE Operacao (OperacaoID number(10) NOT NULL, CulturaID number(10) NOT NULL, ParcelaID number(10) NOT NULL, TipoOperacaoID number(10) NOT NULL, DataRealizacao date NOT NULL, Quantidade double precision, UnidadeID number(10), FatorProducaoID number(19), PRIMARY KEY (OperacaoID));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</si>
</sst>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1"/>
      <color theme="1"/>
      <name val="Calibri"/>
      <family val="2"/>
      <scheme val="minor"/>
    </font>
    <font>
      <sz val="8"/>
      <name val="Calibri"/>
      <family val="2"/>
      <scheme val="minor"/>
    </font>
    <font>
      <sz val="11"/>
      <color theme="7" tint="0.39997558519241921"/>
      <name val="Calibri"/>
      <family val="2"/>
      <scheme val="minor"/>
    </font>
    <font>
      <sz val="11"/>
      <color rgb="FFFFFF00"/>
      <name val="Calibri"/>
      <family val="2"/>
      <scheme val="minor"/>
    </font>
    <font>
      <sz val="11"/>
      <name val="Calibri"/>
      <family val="2"/>
      <scheme val="minor"/>
    </font>
    <font>
      <sz val="9"/>
      <color rgb="FF172B4D"/>
      <name val="Consolas"/>
      <family val="3"/>
    </font>
    <font>
      <b/>
      <sz val="11"/>
      <color theme="7" tint="0.39997558519241921"/>
      <name val="Calibri"/>
      <family val="2"/>
      <scheme val="minor"/>
    </font>
  </fonts>
  <fills count="18">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7"/>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F0000"/>
        <bgColor indexed="64"/>
      </patternFill>
    </fill>
    <fill>
      <patternFill patternType="solid">
        <fgColor rgb="FF00B050"/>
        <bgColor indexed="64"/>
      </patternFill>
    </fill>
    <fill>
      <patternFill patternType="solid">
        <fgColor theme="8"/>
        <bgColor indexed="64"/>
      </patternFill>
    </fill>
    <fill>
      <patternFill patternType="solid">
        <fgColor theme="3" tint="0.399975585192419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medium">
        <color indexed="64"/>
      </left>
      <right style="medium">
        <color indexed="64"/>
      </right>
      <top style="thin">
        <color indexed="64"/>
      </top>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166">
    <xf numFmtId="0" fontId="0" fillId="0" borderId="0" xfId="0"/>
    <xf numFmtId="14" fontId="0" fillId="0" borderId="0" xfId="0" applyNumberFormat="1"/>
    <xf numFmtId="0" fontId="1" fillId="0" borderId="0" xfId="0" applyFont="1"/>
    <xf numFmtId="9" fontId="0" fillId="0" borderId="0" xfId="0" applyNumberFormat="1"/>
    <xf numFmtId="10" fontId="0" fillId="0" borderId="0" xfId="0" applyNumberFormat="1"/>
    <xf numFmtId="164" fontId="0" fillId="0" borderId="0" xfId="0" applyNumberFormat="1"/>
    <xf numFmtId="0" fontId="1" fillId="0" borderId="0" xfId="0" applyFont="1" applyAlignment="1">
      <alignment horizontal="center"/>
    </xf>
    <xf numFmtId="0" fontId="0" fillId="0" borderId="0" xfId="0" applyAlignment="1">
      <alignment horizontal="center"/>
    </xf>
    <xf numFmtId="1" fontId="0" fillId="0" borderId="0" xfId="0" applyNumberFormat="1" applyAlignment="1">
      <alignment horizontal="center"/>
    </xf>
    <xf numFmtId="0" fontId="0" fillId="0" borderId="0" xfId="0" applyAlignment="1">
      <alignment horizontal="left"/>
    </xf>
    <xf numFmtId="0" fontId="1" fillId="3" borderId="8" xfId="0" applyFont="1" applyFill="1" applyBorder="1" applyAlignment="1">
      <alignment horizontal="center"/>
    </xf>
    <xf numFmtId="0" fontId="1" fillId="3" borderId="3" xfId="0" applyFont="1" applyFill="1" applyBorder="1" applyAlignment="1">
      <alignment horizontal="center"/>
    </xf>
    <xf numFmtId="0" fontId="0" fillId="3" borderId="1" xfId="0" applyFill="1" applyBorder="1" applyAlignment="1">
      <alignment horizontal="center"/>
    </xf>
    <xf numFmtId="0" fontId="0" fillId="3" borderId="5" xfId="0" applyFill="1" applyBorder="1" applyAlignment="1">
      <alignment horizontal="center"/>
    </xf>
    <xf numFmtId="0" fontId="0" fillId="3" borderId="9" xfId="0" applyFill="1" applyBorder="1" applyAlignment="1">
      <alignment horizontal="center"/>
    </xf>
    <xf numFmtId="0" fontId="0" fillId="3" borderId="7" xfId="0" applyFill="1" applyBorder="1" applyAlignment="1">
      <alignment horizontal="center"/>
    </xf>
    <xf numFmtId="0" fontId="1" fillId="3" borderId="2" xfId="0" applyFont="1" applyFill="1" applyBorder="1" applyAlignment="1">
      <alignment horizontal="center"/>
    </xf>
    <xf numFmtId="0" fontId="0" fillId="3" borderId="4" xfId="0" applyFill="1" applyBorder="1" applyAlignment="1">
      <alignment horizontal="center"/>
    </xf>
    <xf numFmtId="0" fontId="1" fillId="3" borderId="0" xfId="0" applyFont="1" applyFill="1"/>
    <xf numFmtId="0" fontId="0" fillId="4" borderId="4" xfId="0" applyFill="1" applyBorder="1" applyAlignment="1">
      <alignment horizontal="center"/>
    </xf>
    <xf numFmtId="0" fontId="0" fillId="4" borderId="5" xfId="0" applyFill="1" applyBorder="1"/>
    <xf numFmtId="0" fontId="0" fillId="4" borderId="6" xfId="0" applyFill="1" applyBorder="1" applyAlignment="1">
      <alignment horizontal="center"/>
    </xf>
    <xf numFmtId="0" fontId="0" fillId="4" borderId="7" xfId="0" applyFill="1" applyBorder="1"/>
    <xf numFmtId="0" fontId="1" fillId="3" borderId="16" xfId="0" applyFont="1" applyFill="1" applyBorder="1" applyAlignment="1">
      <alignment horizontal="center"/>
    </xf>
    <xf numFmtId="0" fontId="0" fillId="5" borderId="4" xfId="0" applyFill="1" applyBorder="1" applyAlignment="1">
      <alignment horizontal="center"/>
    </xf>
    <xf numFmtId="0" fontId="0" fillId="5" borderId="1" xfId="0" applyFill="1" applyBorder="1"/>
    <xf numFmtId="0" fontId="0" fillId="5" borderId="5" xfId="0" applyFill="1" applyBorder="1"/>
    <xf numFmtId="0" fontId="1" fillId="5" borderId="17" xfId="0" applyFont="1" applyFill="1" applyBorder="1" applyAlignment="1">
      <alignment horizontal="center"/>
    </xf>
    <xf numFmtId="0" fontId="1" fillId="5" borderId="18" xfId="0" applyFont="1" applyFill="1" applyBorder="1"/>
    <xf numFmtId="0" fontId="1" fillId="5" borderId="19" xfId="0" applyFont="1" applyFill="1" applyBorder="1"/>
    <xf numFmtId="0" fontId="0" fillId="5" borderId="2" xfId="0" applyFill="1" applyBorder="1" applyAlignment="1">
      <alignment horizontal="center"/>
    </xf>
    <xf numFmtId="0" fontId="0" fillId="5" borderId="3" xfId="0" applyFill="1" applyBorder="1"/>
    <xf numFmtId="0" fontId="0" fillId="5" borderId="8" xfId="0" applyFill="1" applyBorder="1"/>
    <xf numFmtId="0" fontId="1" fillId="0" borderId="0" xfId="0" applyFont="1" applyAlignment="1">
      <alignment horizontal="left"/>
    </xf>
    <xf numFmtId="0" fontId="1" fillId="6" borderId="4" xfId="0" applyFont="1" applyFill="1" applyBorder="1" applyAlignment="1">
      <alignment horizontal="center"/>
    </xf>
    <xf numFmtId="0" fontId="1" fillId="6" borderId="5" xfId="0" applyFont="1" applyFill="1" applyBorder="1" applyAlignment="1">
      <alignment horizontal="center"/>
    </xf>
    <xf numFmtId="0" fontId="0" fillId="6" borderId="4" xfId="0" applyFill="1" applyBorder="1" applyAlignment="1">
      <alignment horizontal="center"/>
    </xf>
    <xf numFmtId="0" fontId="0" fillId="6" borderId="5" xfId="0" applyFill="1" applyBorder="1" applyAlignment="1">
      <alignment horizontal="center"/>
    </xf>
    <xf numFmtId="0" fontId="0" fillId="6" borderId="6" xfId="0" applyFill="1" applyBorder="1" applyAlignment="1">
      <alignment horizontal="center"/>
    </xf>
    <xf numFmtId="0" fontId="0" fillId="6" borderId="7" xfId="0" applyFill="1" applyBorder="1" applyAlignment="1">
      <alignment horizontal="center"/>
    </xf>
    <xf numFmtId="0" fontId="0" fillId="6" borderId="0" xfId="0" applyFill="1"/>
    <xf numFmtId="0" fontId="1" fillId="7" borderId="0" xfId="0" applyFont="1" applyFill="1"/>
    <xf numFmtId="1" fontId="1" fillId="0" borderId="0" xfId="0" applyNumberFormat="1" applyFont="1" applyAlignment="1">
      <alignment horizontal="center"/>
    </xf>
    <xf numFmtId="0" fontId="1" fillId="8" borderId="0" xfId="0" applyFont="1" applyFill="1"/>
    <xf numFmtId="0" fontId="1" fillId="3" borderId="1" xfId="0" applyFont="1" applyFill="1" applyBorder="1"/>
    <xf numFmtId="0" fontId="0" fillId="3" borderId="1" xfId="0" applyFill="1" applyBorder="1"/>
    <xf numFmtId="1" fontId="1" fillId="0" borderId="16" xfId="0" applyNumberFormat="1" applyFont="1" applyBorder="1" applyAlignment="1">
      <alignment horizontal="center"/>
    </xf>
    <xf numFmtId="0" fontId="0" fillId="8" borderId="10" xfId="0" applyFill="1" applyBorder="1"/>
    <xf numFmtId="0" fontId="0" fillId="8" borderId="11" xfId="0" applyFill="1" applyBorder="1"/>
    <xf numFmtId="0" fontId="0" fillId="8" borderId="23" xfId="0" applyFill="1" applyBorder="1"/>
    <xf numFmtId="0" fontId="0" fillId="8" borderId="2" xfId="0" applyFill="1" applyBorder="1"/>
    <xf numFmtId="0" fontId="0" fillId="8" borderId="3" xfId="0" applyFill="1" applyBorder="1"/>
    <xf numFmtId="0" fontId="0" fillId="8" borderId="4" xfId="0" applyFill="1" applyBorder="1"/>
    <xf numFmtId="0" fontId="0" fillId="8" borderId="5" xfId="0" applyFill="1" applyBorder="1"/>
    <xf numFmtId="0" fontId="0" fillId="8" borderId="6" xfId="0" applyFill="1" applyBorder="1"/>
    <xf numFmtId="0" fontId="0" fillId="8" borderId="7" xfId="0" applyFill="1" applyBorder="1"/>
    <xf numFmtId="0" fontId="0" fillId="8" borderId="11" xfId="0" applyFill="1" applyBorder="1" applyAlignment="1">
      <alignment horizontal="center"/>
    </xf>
    <xf numFmtId="0" fontId="0" fillId="7" borderId="10" xfId="0" applyFill="1" applyBorder="1"/>
    <xf numFmtId="0" fontId="0" fillId="7" borderId="11" xfId="0" applyFill="1" applyBorder="1"/>
    <xf numFmtId="0" fontId="0" fillId="7" borderId="12" xfId="0" applyFill="1" applyBorder="1"/>
    <xf numFmtId="0" fontId="0" fillId="7" borderId="2" xfId="0" applyFill="1" applyBorder="1"/>
    <xf numFmtId="0" fontId="0" fillId="7" borderId="3" xfId="0" applyFill="1" applyBorder="1"/>
    <xf numFmtId="0" fontId="0" fillId="7" borderId="4" xfId="0" applyFill="1" applyBorder="1"/>
    <xf numFmtId="0" fontId="0" fillId="7" borderId="5" xfId="0" applyFill="1" applyBorder="1"/>
    <xf numFmtId="0" fontId="0" fillId="7" borderId="6" xfId="0" applyFill="1" applyBorder="1"/>
    <xf numFmtId="0" fontId="0" fillId="7" borderId="7" xfId="0" applyFill="1" applyBorder="1"/>
    <xf numFmtId="1" fontId="0" fillId="7" borderId="3" xfId="0" applyNumberFormat="1" applyFill="1" applyBorder="1" applyAlignment="1">
      <alignment horizontal="center"/>
    </xf>
    <xf numFmtId="1" fontId="0" fillId="7" borderId="5" xfId="0" applyNumberFormat="1" applyFill="1" applyBorder="1" applyAlignment="1">
      <alignment horizontal="center"/>
    </xf>
    <xf numFmtId="1" fontId="0" fillId="7" borderId="7" xfId="0" applyNumberFormat="1" applyFill="1" applyBorder="1" applyAlignment="1">
      <alignment horizontal="center"/>
    </xf>
    <xf numFmtId="0" fontId="1" fillId="0" borderId="16" xfId="0" applyFont="1" applyBorder="1" applyAlignment="1">
      <alignment horizontal="center"/>
    </xf>
    <xf numFmtId="0" fontId="1" fillId="9" borderId="1" xfId="0" applyFont="1" applyFill="1" applyBorder="1" applyAlignment="1">
      <alignment horizontal="center"/>
    </xf>
    <xf numFmtId="0" fontId="0" fillId="9" borderId="0" xfId="0" applyFill="1"/>
    <xf numFmtId="0" fontId="0" fillId="9" borderId="4" xfId="0" applyFill="1" applyBorder="1"/>
    <xf numFmtId="0" fontId="0" fillId="9" borderId="5" xfId="0" applyFill="1" applyBorder="1" applyAlignment="1">
      <alignment horizontal="center"/>
    </xf>
    <xf numFmtId="0" fontId="0" fillId="9" borderId="6" xfId="0" applyFill="1" applyBorder="1"/>
    <xf numFmtId="0" fontId="0" fillId="9" borderId="7" xfId="0" applyFill="1" applyBorder="1" applyAlignment="1">
      <alignment horizontal="center"/>
    </xf>
    <xf numFmtId="0" fontId="0" fillId="9" borderId="1" xfId="0" applyFill="1" applyBorder="1" applyAlignment="1">
      <alignment horizontal="center"/>
    </xf>
    <xf numFmtId="0" fontId="1" fillId="9" borderId="4" xfId="0" applyFont="1" applyFill="1" applyBorder="1" applyAlignment="1">
      <alignment horizontal="center"/>
    </xf>
    <xf numFmtId="0" fontId="1" fillId="9" borderId="5" xfId="0" applyFont="1" applyFill="1" applyBorder="1" applyAlignment="1">
      <alignment horizontal="center"/>
    </xf>
    <xf numFmtId="0" fontId="0" fillId="9" borderId="9" xfId="0" applyFill="1" applyBorder="1" applyAlignment="1">
      <alignment horizontal="center"/>
    </xf>
    <xf numFmtId="0" fontId="0" fillId="9" borderId="0" xfId="0" applyFill="1" applyAlignment="1">
      <alignment horizontal="left"/>
    </xf>
    <xf numFmtId="0" fontId="1" fillId="10" borderId="10" xfId="0" applyFont="1" applyFill="1" applyBorder="1" applyAlignment="1">
      <alignment horizontal="center"/>
    </xf>
    <xf numFmtId="0" fontId="0" fillId="10" borderId="11" xfId="0" applyFill="1" applyBorder="1" applyAlignment="1">
      <alignment horizontal="center"/>
    </xf>
    <xf numFmtId="0" fontId="0" fillId="10" borderId="12" xfId="0" applyFill="1" applyBorder="1" applyAlignment="1">
      <alignment horizontal="center"/>
    </xf>
    <xf numFmtId="0" fontId="1" fillId="4" borderId="10" xfId="0" applyFont="1" applyFill="1" applyBorder="1" applyAlignment="1">
      <alignment horizontal="center"/>
    </xf>
    <xf numFmtId="0" fontId="0" fillId="4" borderId="11" xfId="0" applyFill="1" applyBorder="1" applyAlignment="1">
      <alignment horizontal="center"/>
    </xf>
    <xf numFmtId="0" fontId="0" fillId="4" borderId="12" xfId="0" applyFill="1" applyBorder="1" applyAlignment="1">
      <alignment horizontal="center"/>
    </xf>
    <xf numFmtId="0" fontId="1" fillId="2" borderId="10" xfId="0" applyFont="1"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xf numFmtId="0" fontId="1" fillId="11" borderId="1" xfId="0" applyFont="1" applyFill="1" applyBorder="1" applyAlignment="1">
      <alignment horizontal="center"/>
    </xf>
    <xf numFmtId="0" fontId="0" fillId="11" borderId="1" xfId="0" applyFill="1" applyBorder="1" applyAlignment="1">
      <alignment horizontal="center"/>
    </xf>
    <xf numFmtId="14" fontId="0" fillId="9" borderId="1" xfId="0" applyNumberFormat="1" applyFill="1" applyBorder="1" applyAlignment="1">
      <alignment horizontal="center"/>
    </xf>
    <xf numFmtId="0" fontId="1" fillId="9" borderId="1" xfId="0" applyFont="1" applyFill="1" applyBorder="1" applyAlignment="1">
      <alignment horizontal="center" vertical="center"/>
    </xf>
    <xf numFmtId="0" fontId="0" fillId="9" borderId="1" xfId="0" applyFill="1" applyBorder="1" applyAlignment="1">
      <alignment horizontal="center" vertical="center"/>
    </xf>
    <xf numFmtId="0" fontId="0" fillId="12" borderId="4" xfId="0" applyFill="1" applyBorder="1" applyAlignment="1">
      <alignment horizontal="center"/>
    </xf>
    <xf numFmtId="0" fontId="0" fillId="12" borderId="5" xfId="0" applyFill="1" applyBorder="1" applyAlignment="1">
      <alignment horizontal="center"/>
    </xf>
    <xf numFmtId="0" fontId="0" fillId="12" borderId="6" xfId="0" applyFill="1" applyBorder="1" applyAlignment="1">
      <alignment horizontal="center"/>
    </xf>
    <xf numFmtId="0" fontId="0" fillId="12" borderId="7" xfId="0" applyFill="1" applyBorder="1" applyAlignment="1">
      <alignment horizontal="center"/>
    </xf>
    <xf numFmtId="0" fontId="0" fillId="13" borderId="1" xfId="0" applyFill="1" applyBorder="1" applyAlignment="1">
      <alignment horizontal="center"/>
    </xf>
    <xf numFmtId="10" fontId="0" fillId="13" borderId="1" xfId="0" applyNumberFormat="1" applyFill="1" applyBorder="1" applyAlignment="1">
      <alignment horizontal="center"/>
    </xf>
    <xf numFmtId="0" fontId="1" fillId="14" borderId="0" xfId="0" applyFont="1" applyFill="1" applyAlignment="1">
      <alignment horizontal="center"/>
    </xf>
    <xf numFmtId="0" fontId="0" fillId="14" borderId="0" xfId="0" applyFill="1"/>
    <xf numFmtId="0" fontId="1" fillId="15" borderId="0" xfId="0" applyFont="1" applyFill="1" applyAlignment="1">
      <alignment horizontal="center"/>
    </xf>
    <xf numFmtId="0" fontId="0" fillId="15" borderId="0" xfId="0" applyFill="1" applyAlignment="1">
      <alignment horizontal="center"/>
    </xf>
    <xf numFmtId="0" fontId="1" fillId="15" borderId="0" xfId="0" applyFont="1" applyFill="1" applyAlignment="1">
      <alignment horizontal="left"/>
    </xf>
    <xf numFmtId="0" fontId="6" fillId="0" borderId="0" xfId="0" applyFont="1" applyAlignment="1">
      <alignment vertical="center"/>
    </xf>
    <xf numFmtId="0" fontId="3" fillId="0" borderId="0" xfId="0" applyFont="1"/>
    <xf numFmtId="0" fontId="5" fillId="0" borderId="0" xfId="0" applyFont="1"/>
    <xf numFmtId="0" fontId="4" fillId="0" borderId="0" xfId="0" applyFont="1"/>
    <xf numFmtId="10" fontId="0" fillId="0" borderId="0" xfId="0" applyNumberFormat="1" applyAlignment="1">
      <alignment horizontal="center"/>
    </xf>
    <xf numFmtId="0" fontId="1" fillId="16" borderId="4" xfId="0" applyFont="1" applyFill="1" applyBorder="1" applyAlignment="1">
      <alignment horizontal="center"/>
    </xf>
    <xf numFmtId="0" fontId="1" fillId="16" borderId="5" xfId="0" applyFont="1" applyFill="1" applyBorder="1" applyAlignment="1">
      <alignment horizontal="center"/>
    </xf>
    <xf numFmtId="0" fontId="0" fillId="16" borderId="4" xfId="0" applyFill="1" applyBorder="1" applyAlignment="1">
      <alignment horizontal="center"/>
    </xf>
    <xf numFmtId="0" fontId="0" fillId="16" borderId="6" xfId="0" applyFill="1" applyBorder="1" applyAlignment="1">
      <alignment horizontal="center"/>
    </xf>
    <xf numFmtId="0" fontId="0" fillId="16" borderId="5" xfId="0" applyFill="1" applyBorder="1" applyAlignment="1">
      <alignment horizontal="center"/>
    </xf>
    <xf numFmtId="0" fontId="0" fillId="16" borderId="7" xfId="0" applyFill="1" applyBorder="1" applyAlignment="1">
      <alignment horizontal="center"/>
    </xf>
    <xf numFmtId="0" fontId="1" fillId="17" borderId="4" xfId="0" applyFont="1" applyFill="1" applyBorder="1" applyAlignment="1">
      <alignment horizontal="center"/>
    </xf>
    <xf numFmtId="0" fontId="1" fillId="17" borderId="5" xfId="0" applyFont="1" applyFill="1" applyBorder="1" applyAlignment="1">
      <alignment horizontal="center"/>
    </xf>
    <xf numFmtId="0" fontId="0" fillId="17" borderId="4" xfId="0" applyFill="1" applyBorder="1" applyAlignment="1">
      <alignment horizontal="center"/>
    </xf>
    <xf numFmtId="0" fontId="0" fillId="17" borderId="5" xfId="0" applyFill="1" applyBorder="1" applyAlignment="1">
      <alignment horizontal="center"/>
    </xf>
    <xf numFmtId="0" fontId="0" fillId="17" borderId="6" xfId="0" applyFill="1" applyBorder="1" applyAlignment="1">
      <alignment horizontal="center"/>
    </xf>
    <xf numFmtId="0" fontId="0" fillId="17" borderId="7" xfId="0" applyFill="1" applyBorder="1" applyAlignment="1">
      <alignment horizontal="center"/>
    </xf>
    <xf numFmtId="0" fontId="7" fillId="0" borderId="0" xfId="0" applyFont="1"/>
    <xf numFmtId="0" fontId="1" fillId="9" borderId="25" xfId="0" applyFont="1" applyFill="1" applyBorder="1" applyAlignment="1">
      <alignment horizontal="center"/>
    </xf>
    <xf numFmtId="0" fontId="0" fillId="14" borderId="0" xfId="0" applyFill="1" applyAlignment="1">
      <alignment horizontal="left"/>
    </xf>
    <xf numFmtId="0" fontId="1" fillId="5" borderId="6" xfId="0" applyFont="1" applyFill="1" applyBorder="1" applyAlignment="1">
      <alignment horizontal="center"/>
    </xf>
    <xf numFmtId="0" fontId="1" fillId="5" borderId="9" xfId="0" applyFont="1" applyFill="1" applyBorder="1" applyAlignment="1">
      <alignment horizontal="center"/>
    </xf>
    <xf numFmtId="0" fontId="1" fillId="5" borderId="7" xfId="0" applyFont="1" applyFill="1" applyBorder="1" applyAlignment="1">
      <alignment horizontal="center"/>
    </xf>
    <xf numFmtId="0" fontId="1" fillId="4" borderId="0" xfId="0" applyFont="1" applyFill="1" applyAlignment="1">
      <alignment horizontal="left"/>
    </xf>
    <xf numFmtId="0" fontId="1" fillId="5" borderId="0" xfId="0" applyFont="1" applyFill="1" applyAlignment="1">
      <alignment horizontal="left"/>
    </xf>
    <xf numFmtId="0" fontId="1" fillId="4" borderId="2" xfId="0" applyFont="1" applyFill="1" applyBorder="1" applyAlignment="1">
      <alignment horizontal="center"/>
    </xf>
    <xf numFmtId="0" fontId="1" fillId="4" borderId="3" xfId="0" applyFont="1" applyFill="1" applyBorder="1" applyAlignment="1">
      <alignment horizontal="center"/>
    </xf>
    <xf numFmtId="0" fontId="0" fillId="13" borderId="24" xfId="0" applyFill="1" applyBorder="1" applyAlignment="1">
      <alignment horizontal="left"/>
    </xf>
    <xf numFmtId="0" fontId="0" fillId="13" borderId="0" xfId="0" applyFill="1" applyAlignment="1">
      <alignment horizontal="left"/>
    </xf>
    <xf numFmtId="0" fontId="0" fillId="12" borderId="22" xfId="0" applyFill="1" applyBorder="1" applyAlignment="1">
      <alignment horizontal="left"/>
    </xf>
    <xf numFmtId="0" fontId="0" fillId="12" borderId="0" xfId="0" applyFill="1" applyAlignment="1">
      <alignment horizontal="left"/>
    </xf>
    <xf numFmtId="0" fontId="1" fillId="12" borderId="15" xfId="0" applyFont="1" applyFill="1" applyBorder="1" applyAlignment="1">
      <alignment horizontal="center"/>
    </xf>
    <xf numFmtId="0" fontId="1" fillId="12" borderId="13" xfId="0" applyFont="1" applyFill="1" applyBorder="1" applyAlignment="1">
      <alignment horizontal="center"/>
    </xf>
    <xf numFmtId="0" fontId="0" fillId="2" borderId="22" xfId="0" applyFill="1" applyBorder="1" applyAlignment="1">
      <alignment horizontal="left"/>
    </xf>
    <xf numFmtId="0" fontId="0" fillId="2" borderId="0" xfId="0" applyFill="1" applyAlignment="1">
      <alignment horizontal="left"/>
    </xf>
    <xf numFmtId="0" fontId="0" fillId="4" borderId="22" xfId="0" applyFill="1" applyBorder="1" applyAlignment="1">
      <alignment horizontal="left"/>
    </xf>
    <xf numFmtId="0" fontId="0" fillId="4" borderId="0" xfId="0" applyFill="1" applyAlignment="1">
      <alignment horizontal="left"/>
    </xf>
    <xf numFmtId="0" fontId="1" fillId="13" borderId="1" xfId="0" applyFont="1" applyFill="1" applyBorder="1" applyAlignment="1">
      <alignment horizontal="center"/>
    </xf>
    <xf numFmtId="0" fontId="1" fillId="9" borderId="15" xfId="0" applyFont="1" applyFill="1" applyBorder="1" applyAlignment="1">
      <alignment horizontal="center"/>
    </xf>
    <xf numFmtId="0" fontId="1" fillId="9" borderId="14" xfId="0" applyFont="1" applyFill="1" applyBorder="1" applyAlignment="1">
      <alignment horizontal="center"/>
    </xf>
    <xf numFmtId="0" fontId="1" fillId="9" borderId="13" xfId="0" applyFont="1" applyFill="1" applyBorder="1" applyAlignment="1">
      <alignment horizontal="center"/>
    </xf>
    <xf numFmtId="0" fontId="1" fillId="17" borderId="2" xfId="0" applyFont="1" applyFill="1" applyBorder="1" applyAlignment="1">
      <alignment horizontal="center"/>
    </xf>
    <xf numFmtId="0" fontId="1" fillId="17" borderId="3" xfId="0" applyFont="1" applyFill="1" applyBorder="1" applyAlignment="1">
      <alignment horizontal="center"/>
    </xf>
    <xf numFmtId="0" fontId="0" fillId="16" borderId="0" xfId="0" applyFill="1" applyAlignment="1">
      <alignment horizontal="left"/>
    </xf>
    <xf numFmtId="0" fontId="1" fillId="16" borderId="15" xfId="0" applyFont="1" applyFill="1" applyBorder="1" applyAlignment="1">
      <alignment horizontal="center"/>
    </xf>
    <xf numFmtId="0" fontId="1" fillId="16" borderId="13" xfId="0" applyFont="1" applyFill="1" applyBorder="1" applyAlignment="1">
      <alignment horizontal="center"/>
    </xf>
    <xf numFmtId="0" fontId="0" fillId="10" borderId="22" xfId="0" applyFill="1" applyBorder="1" applyAlignment="1">
      <alignment horizontal="left"/>
    </xf>
    <xf numFmtId="0" fontId="0" fillId="10" borderId="0" xfId="0" applyFill="1" applyAlignment="1">
      <alignment horizontal="left"/>
    </xf>
    <xf numFmtId="0" fontId="0" fillId="17" borderId="22" xfId="0" applyFill="1" applyBorder="1" applyAlignment="1">
      <alignment horizontal="left"/>
    </xf>
    <xf numFmtId="0" fontId="0" fillId="17" borderId="0" xfId="0" applyFill="1" applyAlignment="1">
      <alignment horizontal="left"/>
    </xf>
    <xf numFmtId="0" fontId="1" fillId="11" borderId="0" xfId="0" applyFont="1" applyFill="1" applyAlignment="1">
      <alignment horizontal="left"/>
    </xf>
    <xf numFmtId="0" fontId="1" fillId="11" borderId="21" xfId="0" applyFont="1" applyFill="1" applyBorder="1" applyAlignment="1">
      <alignment horizontal="center"/>
    </xf>
    <xf numFmtId="0" fontId="1" fillId="11" borderId="20" xfId="0" applyFont="1" applyFill="1" applyBorder="1" applyAlignment="1">
      <alignment horizontal="center"/>
    </xf>
    <xf numFmtId="0" fontId="0" fillId="0" borderId="0" xfId="0" applyAlignment="1">
      <alignment horizontal="left"/>
    </xf>
    <xf numFmtId="0" fontId="1" fillId="0" borderId="0" xfId="0" applyFont="1" applyAlignment="1">
      <alignment horizontal="center"/>
    </xf>
    <xf numFmtId="0" fontId="0" fillId="11" borderId="24" xfId="0" applyFill="1" applyBorder="1" applyAlignment="1">
      <alignment horizontal="left"/>
    </xf>
    <xf numFmtId="0" fontId="0" fillId="11" borderId="0" xfId="0" applyFill="1" applyAlignment="1">
      <alignment horizontal="left"/>
    </xf>
    <xf numFmtId="0" fontId="1" fillId="11" borderId="1" xfId="0" applyFont="1" applyFill="1" applyBorder="1" applyAlignment="1">
      <alignment horizontal="center"/>
    </xf>
    <xf numFmtId="0" fontId="1" fillId="6" borderId="15" xfId="0" applyFont="1" applyFill="1" applyBorder="1" applyAlignment="1">
      <alignment horizontal="center"/>
    </xf>
    <xf numFmtId="0" fontId="1" fillId="6" borderId="1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74F46-7FB7-481B-9DAE-CE325D568C4A}">
  <dimension ref="A1:X96"/>
  <sheetViews>
    <sheetView topLeftCell="V1" workbookViewId="0">
      <selection activeCell="W31" sqref="W31"/>
    </sheetView>
  </sheetViews>
  <sheetFormatPr defaultRowHeight="15" x14ac:dyDescent="0.25"/>
  <cols>
    <col min="1" max="1" width="25.42578125" bestFit="1" customWidth="1"/>
    <col min="2" max="2" width="25.42578125" customWidth="1"/>
    <col min="3" max="3" width="29.85546875" bestFit="1" customWidth="1"/>
    <col min="4" max="4" width="13.140625" bestFit="1" customWidth="1"/>
    <col min="5" max="5" width="10.5703125" customWidth="1"/>
    <col min="6" max="6" width="20.42578125" bestFit="1" customWidth="1"/>
    <col min="7" max="7" width="15.85546875" bestFit="1" customWidth="1"/>
    <col min="8" max="8" width="21.7109375" bestFit="1" customWidth="1"/>
    <col min="9" max="9" width="21.7109375" customWidth="1"/>
    <col min="10" max="10" width="12.42578125" style="7" bestFit="1" customWidth="1"/>
    <col min="11" max="11" width="25.140625" bestFit="1" customWidth="1"/>
    <col min="12" max="12" width="12.5703125" bestFit="1" customWidth="1"/>
    <col min="13" max="14" width="12.5703125" customWidth="1"/>
    <col min="15" max="16" width="24.42578125" customWidth="1"/>
    <col min="17" max="19" width="12.5703125" customWidth="1"/>
    <col min="20" max="20" width="31.85546875" bestFit="1" customWidth="1"/>
    <col min="22" max="22" width="39.5703125" bestFit="1" customWidth="1"/>
    <col min="23" max="23" width="222.5703125" customWidth="1"/>
  </cols>
  <sheetData>
    <row r="1" spans="1:24" ht="15.75" thickBot="1" x14ac:dyDescent="0.3">
      <c r="A1" s="2" t="s">
        <v>0</v>
      </c>
      <c r="B1" s="2" t="s">
        <v>1</v>
      </c>
      <c r="C1" s="2" t="s">
        <v>2</v>
      </c>
      <c r="D1" s="2" t="s">
        <v>3</v>
      </c>
      <c r="E1" s="44" t="s">
        <v>4</v>
      </c>
      <c r="F1" s="44" t="s">
        <v>5</v>
      </c>
      <c r="G1" s="44" t="s">
        <v>6</v>
      </c>
      <c r="H1" s="44" t="s">
        <v>7</v>
      </c>
      <c r="I1" s="2"/>
      <c r="J1" s="27" t="s">
        <v>174</v>
      </c>
      <c r="K1" s="28" t="s">
        <v>0</v>
      </c>
      <c r="L1" s="28" t="s">
        <v>1</v>
      </c>
      <c r="M1" s="29" t="s">
        <v>260</v>
      </c>
      <c r="N1" s="2"/>
      <c r="O1" s="2"/>
      <c r="P1" s="2"/>
      <c r="R1" s="23" t="s">
        <v>266</v>
      </c>
      <c r="S1" s="16" t="s">
        <v>265</v>
      </c>
      <c r="T1" s="10" t="s">
        <v>2</v>
      </c>
      <c r="U1" s="11" t="s">
        <v>257</v>
      </c>
      <c r="V1" s="2" t="s">
        <v>132</v>
      </c>
      <c r="W1" s="123"/>
    </row>
    <row r="2" spans="1:24" x14ac:dyDescent="0.25">
      <c r="A2" t="s">
        <v>8</v>
      </c>
      <c r="B2" t="s">
        <v>9</v>
      </c>
      <c r="C2" t="s">
        <v>10</v>
      </c>
      <c r="D2" t="s">
        <v>11</v>
      </c>
      <c r="E2" s="45"/>
      <c r="F2" s="45" t="s">
        <v>12</v>
      </c>
      <c r="G2" s="45" t="s">
        <v>13</v>
      </c>
      <c r="H2" s="45" t="s">
        <v>14</v>
      </c>
      <c r="J2" s="30">
        <v>1</v>
      </c>
      <c r="K2" s="32" t="str" cm="1">
        <f t="array" ref="K2:L13">_xlfn.UNIQUE(A2:B96)</f>
        <v>Prunus domestica</v>
      </c>
      <c r="L2" s="32" t="str">
        <v>Ameixoeira</v>
      </c>
      <c r="M2" s="31">
        <v>1</v>
      </c>
      <c r="S2" s="17" cm="1">
        <f t="array" ref="S2">_xlfn.XLOOKUP(A2&amp;B2,$K$2:$K$13&amp;$L$2:$L$13,$J$2:$J$13)</f>
        <v>1</v>
      </c>
      <c r="T2" s="12" t="str" cm="1">
        <f t="array" ref="T2:T96">_xlfn.UNIQUE(C2:C96)</f>
        <v>RAINHA CLAUDIA CARANGUEJEIRA</v>
      </c>
      <c r="U2" s="13">
        <v>1</v>
      </c>
      <c r="V2" t="str">
        <f t="shared" ref="V2:V33" si="0">_xlfn.CONCAT(B2," ",C2)</f>
        <v>Ameixoeira RAINHA CLAUDIA CARANGUEJEIRA</v>
      </c>
      <c r="W2" s="18" t="str">
        <f>"INSERT INTO Cultura(CulturaID, Variedade, EspecieVegetalID, EpocaSementeiraPlantacao, EpocaPoda, EpocaFloracao, EpocaColheita) VALUES ("&amp;U2&amp;", '"&amp;T2&amp;"', "&amp;S2&amp;", '"&amp;E2&amp;"', '"&amp;F2&amp;"', '"&amp;G2&amp;"', '"&amp;H2&amp;"');"</f>
        <v>INSERT INTO Cultura(CulturaID, Variedade, EspecieVegetalID, EpocaSementeiraPlantacao, EpocaPoda, EpocaFloracao, EpocaColheita) VALUES (1, 'RAINHA CLAUDIA CARANGUEJEIRA', 1, '', 'Novembro a dezembro', 'Fevereiro a março', 'Julho a agosto');</v>
      </c>
      <c r="X2" s="103">
        <v>3</v>
      </c>
    </row>
    <row r="3" spans="1:24" x14ac:dyDescent="0.25">
      <c r="A3" t="s">
        <v>8</v>
      </c>
      <c r="B3" t="s">
        <v>9</v>
      </c>
      <c r="C3" t="s">
        <v>15</v>
      </c>
      <c r="D3" t="s">
        <v>11</v>
      </c>
      <c r="E3" s="45"/>
      <c r="F3" s="45" t="s">
        <v>12</v>
      </c>
      <c r="G3" s="45" t="s">
        <v>13</v>
      </c>
      <c r="H3" s="45" t="s">
        <v>14</v>
      </c>
      <c r="J3" s="24">
        <f>1+J2</f>
        <v>2</v>
      </c>
      <c r="K3" s="25" t="str">
        <v>Prunus armeniaca</v>
      </c>
      <c r="L3" s="25" t="str">
        <v>Damasqueiro</v>
      </c>
      <c r="M3" s="26">
        <v>1</v>
      </c>
      <c r="S3" s="17" cm="1">
        <f t="array" ref="S3">_xlfn.XLOOKUP(A3&amp;B3,$K$2:$K$13&amp;$L$2:$L$13,$J$2:$J$13)</f>
        <v>1</v>
      </c>
      <c r="T3" s="12" t="str">
        <v>PRESIDENT</v>
      </c>
      <c r="U3" s="13">
        <v>2</v>
      </c>
      <c r="V3" t="str">
        <f t="shared" si="0"/>
        <v>Ameixoeira PRESIDENT</v>
      </c>
      <c r="W3" s="18" t="str">
        <f t="shared" ref="W3:W66" si="1">"INSERT INTO Cultura(CulturaID, Variedade, EspecieVegetalID, EpocaSementeiraPlantacao, EpocaPoda, EpocaFloracao, EpocaColheita) VALUES ("&amp;U3&amp;", '"&amp;T3&amp;"', "&amp;S3&amp;", '"&amp;E3&amp;"', '"&amp;F3&amp;"', '"&amp;G3&amp;"', '"&amp;H3&amp;"');"</f>
        <v>INSERT INTO Cultura(CulturaID, Variedade, EspecieVegetalID, EpocaSementeiraPlantacao, EpocaPoda, EpocaFloracao, EpocaColheita) VALUES (2, 'PRESIDENT', 1, '', 'Novembro a dezembro', 'Fevereiro a março', 'Julho a agosto');</v>
      </c>
    </row>
    <row r="4" spans="1:24" x14ac:dyDescent="0.25">
      <c r="A4" t="s">
        <v>8</v>
      </c>
      <c r="B4" t="s">
        <v>9</v>
      </c>
      <c r="C4" t="s">
        <v>16</v>
      </c>
      <c r="D4" t="s">
        <v>11</v>
      </c>
      <c r="E4" s="45"/>
      <c r="F4" s="45" t="s">
        <v>12</v>
      </c>
      <c r="G4" s="45" t="s">
        <v>13</v>
      </c>
      <c r="H4" s="45" t="s">
        <v>14</v>
      </c>
      <c r="J4" s="24">
        <f t="shared" ref="J4:J13" si="2">1+J3</f>
        <v>3</v>
      </c>
      <c r="K4" s="25" t="str">
        <v>Malus domestica</v>
      </c>
      <c r="L4" s="25" t="str">
        <v>Macieira</v>
      </c>
      <c r="M4" s="26">
        <v>1</v>
      </c>
      <c r="S4" s="17" cm="1">
        <f t="array" ref="S4">_xlfn.XLOOKUP(A4&amp;B4,$K$2:$K$13&amp;$L$2:$L$13,$J$2:$J$13)</f>
        <v>1</v>
      </c>
      <c r="T4" s="12" t="str">
        <v>STANLEY</v>
      </c>
      <c r="U4" s="13">
        <v>3</v>
      </c>
      <c r="V4" t="str">
        <f t="shared" si="0"/>
        <v>Ameixoeira STANLEY</v>
      </c>
      <c r="W4" s="18" t="str">
        <f t="shared" si="1"/>
        <v>INSERT INTO Cultura(CulturaID, Variedade, EspecieVegetalID, EpocaSementeiraPlantacao, EpocaPoda, EpocaFloracao, EpocaColheita) VALUES (3, 'STANLEY', 1, '', 'Novembro a dezembro', 'Fevereiro a março', 'Julho a agosto');</v>
      </c>
    </row>
    <row r="5" spans="1:24" x14ac:dyDescent="0.25">
      <c r="A5" t="s">
        <v>8</v>
      </c>
      <c r="B5" t="s">
        <v>9</v>
      </c>
      <c r="C5" t="s">
        <v>17</v>
      </c>
      <c r="D5" t="s">
        <v>11</v>
      </c>
      <c r="E5" s="45"/>
      <c r="F5" s="45" t="s">
        <v>12</v>
      </c>
      <c r="G5" s="45" t="s">
        <v>13</v>
      </c>
      <c r="H5" s="45" t="s">
        <v>14</v>
      </c>
      <c r="J5" s="24">
        <f t="shared" si="2"/>
        <v>4</v>
      </c>
      <c r="K5" s="25" t="str">
        <v>Pyrus pyrifolia</v>
      </c>
      <c r="L5" s="25" t="str">
        <v>Pera Nashi</v>
      </c>
      <c r="M5" s="26">
        <v>1</v>
      </c>
      <c r="S5" s="17" cm="1">
        <f t="array" ref="S5">_xlfn.XLOOKUP(A5&amp;B5,$K$2:$K$13&amp;$L$2:$L$13,$J$2:$J$13)</f>
        <v>1</v>
      </c>
      <c r="T5" s="12" t="str">
        <v>ANGELENO</v>
      </c>
      <c r="U5" s="13">
        <v>4</v>
      </c>
      <c r="V5" t="str">
        <f t="shared" si="0"/>
        <v>Ameixoeira ANGELENO</v>
      </c>
      <c r="W5" s="18" t="str">
        <f t="shared" si="1"/>
        <v>INSERT INTO Cultura(CulturaID, Variedade, EspecieVegetalID, EpocaSementeiraPlantacao, EpocaPoda, EpocaFloracao, EpocaColheita) VALUES (4, 'ANGELENO', 1, '', 'Novembro a dezembro', 'Fevereiro a março', 'Julho a agosto');</v>
      </c>
    </row>
    <row r="6" spans="1:24" x14ac:dyDescent="0.25">
      <c r="A6" t="s">
        <v>8</v>
      </c>
      <c r="B6" t="s">
        <v>9</v>
      </c>
      <c r="C6" t="s">
        <v>18</v>
      </c>
      <c r="D6" t="s">
        <v>11</v>
      </c>
      <c r="E6" s="45"/>
      <c r="F6" s="45" t="s">
        <v>12</v>
      </c>
      <c r="G6" s="45" t="s">
        <v>13</v>
      </c>
      <c r="H6" s="45" t="s">
        <v>14</v>
      </c>
      <c r="J6" s="24">
        <f t="shared" si="2"/>
        <v>5</v>
      </c>
      <c r="K6" s="25" t="str">
        <v>Daucus carota subsp. Sativus</v>
      </c>
      <c r="L6" s="25" t="str">
        <v>Cenoura</v>
      </c>
      <c r="M6" s="26">
        <v>2</v>
      </c>
      <c r="Q6" s="7"/>
      <c r="R6" s="7"/>
      <c r="S6" s="17" cm="1">
        <f t="array" ref="S6">_xlfn.XLOOKUP(A6&amp;B6,$K$2:$K$13&amp;$L$2:$L$13,$J$2:$J$13)</f>
        <v>1</v>
      </c>
      <c r="T6" s="12" t="str">
        <v>BLACK BEAUTY</v>
      </c>
      <c r="U6" s="13">
        <v>5</v>
      </c>
      <c r="V6" t="str">
        <f t="shared" si="0"/>
        <v>Ameixoeira BLACK BEAUTY</v>
      </c>
      <c r="W6" s="18" t="str">
        <f t="shared" si="1"/>
        <v>INSERT INTO Cultura(CulturaID, Variedade, EspecieVegetalID, EpocaSementeiraPlantacao, EpocaPoda, EpocaFloracao, EpocaColheita) VALUES (5, 'BLACK BEAUTY', 1, '', 'Novembro a dezembro', 'Fevereiro a março', 'Julho a agosto');</v>
      </c>
    </row>
    <row r="7" spans="1:24" x14ac:dyDescent="0.25">
      <c r="A7" t="s">
        <v>8</v>
      </c>
      <c r="B7" t="s">
        <v>9</v>
      </c>
      <c r="C7" t="s">
        <v>19</v>
      </c>
      <c r="D7" t="s">
        <v>11</v>
      </c>
      <c r="E7" s="45"/>
      <c r="F7" s="45" t="s">
        <v>12</v>
      </c>
      <c r="G7" s="45" t="s">
        <v>13</v>
      </c>
      <c r="H7" s="45" t="s">
        <v>14</v>
      </c>
      <c r="J7" s="24">
        <f t="shared" si="2"/>
        <v>6</v>
      </c>
      <c r="K7" s="25" t="str">
        <v>Lupinus luteus</v>
      </c>
      <c r="L7" s="25" t="str">
        <v>Tremoço</v>
      </c>
      <c r="M7" s="26">
        <v>2</v>
      </c>
      <c r="S7" s="17" cm="1">
        <f t="array" ref="S7">_xlfn.XLOOKUP(A7&amp;B7,$K$2:$K$13&amp;$L$2:$L$13,$J$2:$J$13)</f>
        <v>1</v>
      </c>
      <c r="T7" s="12" t="str">
        <v>BLACK STAR</v>
      </c>
      <c r="U7" s="13">
        <v>6</v>
      </c>
      <c r="V7" t="str">
        <f t="shared" si="0"/>
        <v>Ameixoeira BLACK STAR</v>
      </c>
      <c r="W7" s="18" t="str">
        <f t="shared" si="1"/>
        <v>INSERT INTO Cultura(CulturaID, Variedade, EspecieVegetalID, EpocaSementeiraPlantacao, EpocaPoda, EpocaFloracao, EpocaColheita) VALUES (6, 'BLACK STAR', 1, '', 'Novembro a dezembro', 'Fevereiro a março', 'Julho a agosto');</v>
      </c>
    </row>
    <row r="8" spans="1:24" x14ac:dyDescent="0.25">
      <c r="A8" t="s">
        <v>8</v>
      </c>
      <c r="B8" t="s">
        <v>9</v>
      </c>
      <c r="C8" t="s">
        <v>20</v>
      </c>
      <c r="D8" t="s">
        <v>11</v>
      </c>
      <c r="E8" s="45"/>
      <c r="F8" s="45" t="s">
        <v>12</v>
      </c>
      <c r="G8" s="45" t="s">
        <v>13</v>
      </c>
      <c r="H8" s="45" t="s">
        <v>14</v>
      </c>
      <c r="J8" s="24">
        <f t="shared" si="2"/>
        <v>7</v>
      </c>
      <c r="K8" s="25" t="str">
        <v>Lupinus albus</v>
      </c>
      <c r="L8" s="25" t="str">
        <v>Tremoço</v>
      </c>
      <c r="M8" s="26">
        <v>2</v>
      </c>
      <c r="S8" s="17" cm="1">
        <f t="array" ref="S8">_xlfn.XLOOKUP(A8&amp;B8,$K$2:$K$13&amp;$L$2:$L$13,$J$2:$J$13)</f>
        <v>1</v>
      </c>
      <c r="T8" s="12" t="str">
        <v>BLACK GOLD</v>
      </c>
      <c r="U8" s="13">
        <v>7</v>
      </c>
      <c r="V8" t="str">
        <f t="shared" si="0"/>
        <v>Ameixoeira BLACK GOLD</v>
      </c>
      <c r="W8" s="18" t="str">
        <f t="shared" si="1"/>
        <v>INSERT INTO Cultura(CulturaID, Variedade, EspecieVegetalID, EpocaSementeiraPlantacao, EpocaPoda, EpocaFloracao, EpocaColheita) VALUES (7, 'BLACK GOLD', 1, '', 'Novembro a dezembro', 'Fevereiro a março', 'Julho a agosto');</v>
      </c>
    </row>
    <row r="9" spans="1:24" x14ac:dyDescent="0.25">
      <c r="A9" t="s">
        <v>8</v>
      </c>
      <c r="B9" t="s">
        <v>9</v>
      </c>
      <c r="C9" t="s">
        <v>21</v>
      </c>
      <c r="D9" t="s">
        <v>11</v>
      </c>
      <c r="E9" s="45"/>
      <c r="F9" s="45" t="s">
        <v>12</v>
      </c>
      <c r="G9" s="45" t="s">
        <v>13</v>
      </c>
      <c r="H9" s="45" t="s">
        <v>14</v>
      </c>
      <c r="J9" s="24">
        <f t="shared" si="2"/>
        <v>8</v>
      </c>
      <c r="K9" s="25" t="str">
        <v>Zea mays</v>
      </c>
      <c r="L9" s="25" t="str">
        <v>Milho</v>
      </c>
      <c r="M9" s="26">
        <v>2</v>
      </c>
      <c r="S9" s="17" cm="1">
        <f t="array" ref="S9">_xlfn.XLOOKUP(A9&amp;B9,$K$2:$K$13&amp;$L$2:$L$13,$J$2:$J$13)</f>
        <v>1</v>
      </c>
      <c r="T9" s="12" t="str">
        <v>BLACK DIAMOND</v>
      </c>
      <c r="U9" s="13">
        <v>8</v>
      </c>
      <c r="V9" t="str">
        <f t="shared" si="0"/>
        <v>Ameixoeira BLACK DIAMOND</v>
      </c>
      <c r="W9" s="18" t="str">
        <f t="shared" si="1"/>
        <v>INSERT INTO Cultura(CulturaID, Variedade, EspecieVegetalID, EpocaSementeiraPlantacao, EpocaPoda, EpocaFloracao, EpocaColheita) VALUES (8, 'BLACK DIAMOND', 1, '', 'Novembro a dezembro', 'Fevereiro a março', 'Julho a agosto');</v>
      </c>
    </row>
    <row r="10" spans="1:24" x14ac:dyDescent="0.25">
      <c r="A10" t="s">
        <v>8</v>
      </c>
      <c r="B10" t="s">
        <v>9</v>
      </c>
      <c r="C10" t="s">
        <v>22</v>
      </c>
      <c r="D10" t="s">
        <v>11</v>
      </c>
      <c r="E10" s="45"/>
      <c r="F10" s="45" t="s">
        <v>12</v>
      </c>
      <c r="G10" s="45" t="s">
        <v>13</v>
      </c>
      <c r="H10" s="45" t="s">
        <v>14</v>
      </c>
      <c r="J10" s="24">
        <f t="shared" si="2"/>
        <v>9</v>
      </c>
      <c r="K10" s="25" t="str">
        <v>Brassica rapa</v>
      </c>
      <c r="L10" s="25" t="str">
        <v>Nabo greleiro</v>
      </c>
      <c r="M10" s="26">
        <v>2</v>
      </c>
      <c r="S10" s="17" cm="1">
        <f t="array" ref="S10">_xlfn.XLOOKUP(A10&amp;B10,$K$2:$K$13&amp;$L$2:$L$13,$J$2:$J$13)</f>
        <v>1</v>
      </c>
      <c r="T10" s="12" t="str">
        <v>BLACK AMBER</v>
      </c>
      <c r="U10" s="13">
        <v>9</v>
      </c>
      <c r="V10" t="str">
        <f t="shared" si="0"/>
        <v>Ameixoeira BLACK AMBER</v>
      </c>
      <c r="W10" s="18" t="str">
        <f t="shared" si="1"/>
        <v>INSERT INTO Cultura(CulturaID, Variedade, EspecieVegetalID, EpocaSementeiraPlantacao, EpocaPoda, EpocaFloracao, EpocaColheita) VALUES (9, 'BLACK AMBER', 1, '', 'Novembro a dezembro', 'Fevereiro a março', 'Julho a agosto');</v>
      </c>
    </row>
    <row r="11" spans="1:24" x14ac:dyDescent="0.25">
      <c r="A11" t="s">
        <v>8</v>
      </c>
      <c r="B11" t="s">
        <v>9</v>
      </c>
      <c r="C11" t="s">
        <v>23</v>
      </c>
      <c r="D11" t="s">
        <v>11</v>
      </c>
      <c r="E11" s="45"/>
      <c r="F11" s="45" t="s">
        <v>12</v>
      </c>
      <c r="G11" s="45" t="s">
        <v>13</v>
      </c>
      <c r="H11" s="45" t="s">
        <v>14</v>
      </c>
      <c r="J11" s="24">
        <f t="shared" si="2"/>
        <v>10</v>
      </c>
      <c r="K11" s="25" t="str">
        <v>Olea europaea</v>
      </c>
      <c r="L11" s="25" t="str">
        <v>Oliveira</v>
      </c>
      <c r="M11" s="26">
        <v>1</v>
      </c>
      <c r="S11" s="17" cm="1">
        <f t="array" ref="S11">_xlfn.XLOOKUP(A11&amp;B11,$K$2:$K$13&amp;$L$2:$L$13,$J$2:$J$13)</f>
        <v>1</v>
      </c>
      <c r="T11" s="12" t="str">
        <v>BLACK SPLENDOR</v>
      </c>
      <c r="U11" s="13">
        <v>10</v>
      </c>
      <c r="V11" t="str">
        <f t="shared" si="0"/>
        <v>Ameixoeira BLACK SPLENDOR</v>
      </c>
      <c r="W11" s="18" t="str">
        <f t="shared" si="1"/>
        <v>INSERT INTO Cultura(CulturaID, Variedade, EspecieVegetalID, EpocaSementeiraPlantacao, EpocaPoda, EpocaFloracao, EpocaColheita) VALUES (10, 'BLACK SPLENDOR', 1, '', 'Novembro a dezembro', 'Fevereiro a março', 'Julho a agosto');</v>
      </c>
    </row>
    <row r="12" spans="1:24" x14ac:dyDescent="0.25">
      <c r="A12" t="s">
        <v>8</v>
      </c>
      <c r="B12" t="s">
        <v>9</v>
      </c>
      <c r="C12" t="s">
        <v>24</v>
      </c>
      <c r="D12" t="s">
        <v>11</v>
      </c>
      <c r="E12" s="45"/>
      <c r="F12" s="45" t="s">
        <v>12</v>
      </c>
      <c r="G12" s="45" t="s">
        <v>13</v>
      </c>
      <c r="H12" s="45" t="s">
        <v>14</v>
      </c>
      <c r="J12" s="24">
        <f t="shared" si="2"/>
        <v>11</v>
      </c>
      <c r="K12" s="25" t="str">
        <v>Brassica rapa</v>
      </c>
      <c r="L12" s="25" t="str">
        <v>Nabo</v>
      </c>
      <c r="M12" s="26">
        <v>2</v>
      </c>
      <c r="S12" s="17" cm="1">
        <f t="array" ref="S12">_xlfn.XLOOKUP(A12&amp;B12,$K$2:$K$13&amp;$L$2:$L$13,$J$2:$J$13)</f>
        <v>1</v>
      </c>
      <c r="T12" s="12" t="str">
        <v>FORTUNA</v>
      </c>
      <c r="U12" s="13">
        <v>11</v>
      </c>
      <c r="V12" t="str">
        <f t="shared" si="0"/>
        <v>Ameixoeira FORTUNA</v>
      </c>
      <c r="W12" s="18" t="str">
        <f t="shared" si="1"/>
        <v>INSERT INTO Cultura(CulturaID, Variedade, EspecieVegetalID, EpocaSementeiraPlantacao, EpocaPoda, EpocaFloracao, EpocaColheita) VALUES (11, 'FORTUNA', 1, '', 'Novembro a dezembro', 'Fevereiro a março', 'Julho a agosto');</v>
      </c>
    </row>
    <row r="13" spans="1:24" x14ac:dyDescent="0.25">
      <c r="A13" t="s">
        <v>8</v>
      </c>
      <c r="B13" t="s">
        <v>9</v>
      </c>
      <c r="C13" t="s">
        <v>25</v>
      </c>
      <c r="D13" t="s">
        <v>11</v>
      </c>
      <c r="E13" s="45"/>
      <c r="F13" s="45" t="s">
        <v>12</v>
      </c>
      <c r="G13" s="45" t="s">
        <v>13</v>
      </c>
      <c r="H13" s="45" t="s">
        <v>14</v>
      </c>
      <c r="J13" s="24">
        <f t="shared" si="2"/>
        <v>12</v>
      </c>
      <c r="K13" s="25" t="str">
        <v>Vitis vinifera</v>
      </c>
      <c r="L13" s="25" t="str">
        <v>Videira</v>
      </c>
      <c r="M13" s="26">
        <f>IF(K13=A96,J31,0)</f>
        <v>1</v>
      </c>
      <c r="S13" s="17" cm="1">
        <f t="array" ref="S13">_xlfn.XLOOKUP(A13&amp;B13,$K$2:$K$13&amp;$L$2:$L$13,$J$2:$J$13)</f>
        <v>1</v>
      </c>
      <c r="T13" s="12" t="str">
        <v>FRIAR</v>
      </c>
      <c r="U13" s="13">
        <v>12</v>
      </c>
      <c r="V13" t="str">
        <f t="shared" si="0"/>
        <v>Ameixoeira FRIAR</v>
      </c>
      <c r="W13" s="18" t="str">
        <f t="shared" si="1"/>
        <v>INSERT INTO Cultura(CulturaID, Variedade, EspecieVegetalID, EpocaSementeiraPlantacao, EpocaPoda, EpocaFloracao, EpocaColheita) VALUES (12, 'FRIAR', 1, '', 'Novembro a dezembro', 'Fevereiro a março', 'Julho a agosto');</v>
      </c>
    </row>
    <row r="14" spans="1:24" ht="15.75" thickBot="1" x14ac:dyDescent="0.3">
      <c r="A14" t="s">
        <v>8</v>
      </c>
      <c r="B14" t="s">
        <v>9</v>
      </c>
      <c r="C14" t="s">
        <v>26</v>
      </c>
      <c r="D14" t="s">
        <v>11</v>
      </c>
      <c r="E14" s="45"/>
      <c r="F14" s="45" t="s">
        <v>12</v>
      </c>
      <c r="G14" s="45" t="s">
        <v>13</v>
      </c>
      <c r="H14" s="45" t="s">
        <v>14</v>
      </c>
      <c r="J14" s="126" t="s">
        <v>258</v>
      </c>
      <c r="K14" s="127"/>
      <c r="L14" s="127"/>
      <c r="M14" s="128"/>
      <c r="S14" s="17" cm="1">
        <f t="array" ref="S14">_xlfn.XLOOKUP(A14&amp;B14,$K$2:$K$13&amp;$L$2:$L$13,$J$2:$J$13)</f>
        <v>1</v>
      </c>
      <c r="T14" s="12" t="str">
        <v>EL DORADO</v>
      </c>
      <c r="U14" s="13">
        <v>13</v>
      </c>
      <c r="V14" t="str">
        <f t="shared" si="0"/>
        <v>Ameixoeira EL DORADO</v>
      </c>
      <c r="W14" s="18" t="str">
        <f t="shared" si="1"/>
        <v>INSERT INTO Cultura(CulturaID, Variedade, EspecieVegetalID, EpocaSementeiraPlantacao, EpocaPoda, EpocaFloracao, EpocaColheita) VALUES (13, 'EL DORADO', 1, '', 'Novembro a dezembro', 'Fevereiro a março', 'Julho a agosto');</v>
      </c>
    </row>
    <row r="15" spans="1:24" x14ac:dyDescent="0.25">
      <c r="A15" t="s">
        <v>8</v>
      </c>
      <c r="B15" t="s">
        <v>9</v>
      </c>
      <c r="C15" t="s">
        <v>27</v>
      </c>
      <c r="D15" t="s">
        <v>11</v>
      </c>
      <c r="E15" s="45"/>
      <c r="F15" s="45" t="s">
        <v>12</v>
      </c>
      <c r="G15" s="45" t="s">
        <v>13</v>
      </c>
      <c r="H15" s="45" t="s">
        <v>14</v>
      </c>
      <c r="J15" s="130" t="str">
        <f>"INSERT INTO EspecieVegetal (EspecieVegetalID, DesignacaoEspecie, NomeComum, TipoCulturaID) VALUES ("&amp;J2&amp;", '"&amp;K2&amp;"', '"&amp;L2&amp;"', "&amp;M2&amp;");"</f>
        <v>INSERT INTO EspecieVegetal (EspecieVegetalID, DesignacaoEspecie, NomeComum, TipoCulturaID) VALUES (1, 'Prunus domestica', 'Ameixoeira', 1);</v>
      </c>
      <c r="K15" s="130"/>
      <c r="L15" s="130"/>
      <c r="M15" s="130"/>
      <c r="N15" s="130"/>
      <c r="O15" s="130"/>
      <c r="P15" s="130"/>
      <c r="Q15" s="130"/>
      <c r="R15" s="103">
        <v>2</v>
      </c>
      <c r="S15" s="17" cm="1">
        <f t="array" ref="S15">_xlfn.XLOOKUP(A15&amp;B15,$K$2:$K$13&amp;$L$2:$L$13,$J$2:$J$13)</f>
        <v>1</v>
      </c>
      <c r="T15" s="12" t="str">
        <v>ELEPHANT HEART</v>
      </c>
      <c r="U15" s="13">
        <v>14</v>
      </c>
      <c r="V15" t="str">
        <f t="shared" si="0"/>
        <v>Ameixoeira ELEPHANT HEART</v>
      </c>
      <c r="W15" s="18" t="str">
        <f t="shared" si="1"/>
        <v>INSERT INTO Cultura(CulturaID, Variedade, EspecieVegetalID, EpocaSementeiraPlantacao, EpocaPoda, EpocaFloracao, EpocaColheita) VALUES (14, 'ELEPHANT HEART', 1, '', 'Novembro a dezembro', 'Fevereiro a março', 'Julho a agosto');</v>
      </c>
    </row>
    <row r="16" spans="1:24" x14ac:dyDescent="0.25">
      <c r="A16" t="s">
        <v>8</v>
      </c>
      <c r="B16" t="s">
        <v>9</v>
      </c>
      <c r="C16" t="s">
        <v>28</v>
      </c>
      <c r="D16" t="s">
        <v>11</v>
      </c>
      <c r="E16" s="45"/>
      <c r="F16" s="45" t="s">
        <v>12</v>
      </c>
      <c r="G16" s="45" t="s">
        <v>13</v>
      </c>
      <c r="H16" s="45" t="s">
        <v>14</v>
      </c>
      <c r="J16" s="130" t="str">
        <f>"INSERT INTO EspecieVegetal (EspecieVegetalID, DesignacaoEspecie, NomeComum, TipoCulturaID) VALUES ("&amp;J3&amp;", '"&amp;K3&amp;"', '"&amp;L3&amp;"', "&amp;M3&amp;");"</f>
        <v>INSERT INTO EspecieVegetal (EspecieVegetalID, DesignacaoEspecie, NomeComum, TipoCulturaID) VALUES (2, 'Prunus armeniaca', 'Damasqueiro', 1);</v>
      </c>
      <c r="K16" s="130"/>
      <c r="L16" s="130"/>
      <c r="M16" s="130"/>
      <c r="N16" s="130"/>
      <c r="O16" s="130"/>
      <c r="P16" s="130"/>
      <c r="Q16" s="130"/>
      <c r="S16" s="17" cm="1">
        <f t="array" ref="S16">_xlfn.XLOOKUP(A16&amp;B16,$K$2:$K$13&amp;$L$2:$L$13,$J$2:$J$13)</f>
        <v>1</v>
      </c>
      <c r="T16" s="12" t="str">
        <v>GOLDEN JAPAN</v>
      </c>
      <c r="U16" s="13">
        <v>15</v>
      </c>
      <c r="V16" t="str">
        <f t="shared" si="0"/>
        <v>Ameixoeira GOLDEN JAPAN</v>
      </c>
      <c r="W16" s="18" t="str">
        <f t="shared" si="1"/>
        <v>INSERT INTO Cultura(CulturaID, Variedade, EspecieVegetalID, EpocaSementeiraPlantacao, EpocaPoda, EpocaFloracao, EpocaColheita) VALUES (15, 'GOLDEN JAPAN', 1, '', 'Novembro a dezembro', 'Fevereiro a março', 'Julho a agosto');</v>
      </c>
    </row>
    <row r="17" spans="1:23" x14ac:dyDescent="0.25">
      <c r="A17" t="s">
        <v>8</v>
      </c>
      <c r="B17" t="s">
        <v>9</v>
      </c>
      <c r="C17" t="s">
        <v>29</v>
      </c>
      <c r="D17" t="s">
        <v>11</v>
      </c>
      <c r="E17" s="45"/>
      <c r="F17" s="45" t="s">
        <v>12</v>
      </c>
      <c r="G17" s="45" t="s">
        <v>13</v>
      </c>
      <c r="H17" s="45" t="s">
        <v>14</v>
      </c>
      <c r="J17" s="130" t="str">
        <f t="shared" ref="J17:J20" si="3">"INSERT INTO EspecieVegetal (EspecieVegetalID, DesignacaoEspecie, NomeComum, TipoCulturaID) VALUES ("&amp;J4&amp;", '"&amp;K4&amp;"', '"&amp;L4&amp;"', "&amp;M4&amp;");"</f>
        <v>INSERT INTO EspecieVegetal (EspecieVegetalID, DesignacaoEspecie, NomeComum, TipoCulturaID) VALUES (3, 'Malus domestica', 'Macieira', 1);</v>
      </c>
      <c r="K17" s="130"/>
      <c r="L17" s="130"/>
      <c r="M17" s="130"/>
      <c r="N17" s="130"/>
      <c r="O17" s="130"/>
      <c r="P17" s="130"/>
      <c r="Q17" s="130"/>
      <c r="S17" s="17" cm="1">
        <f t="array" ref="S17">_xlfn.XLOOKUP(A17&amp;B17,$K$2:$K$13&amp;$L$2:$L$13,$J$2:$J$13)</f>
        <v>1</v>
      </c>
      <c r="T17" s="12" t="str">
        <v>HARRY PITCHON</v>
      </c>
      <c r="U17" s="13">
        <v>16</v>
      </c>
      <c r="V17" t="str">
        <f t="shared" si="0"/>
        <v>Ameixoeira HARRY PITCHON</v>
      </c>
      <c r="W17" s="18" t="str">
        <f t="shared" si="1"/>
        <v>INSERT INTO Cultura(CulturaID, Variedade, EspecieVegetalID, EpocaSementeiraPlantacao, EpocaPoda, EpocaFloracao, EpocaColheita) VALUES (16, 'HARRY PITCHON', 1, '', 'Novembro a dezembro', 'Fevereiro a março', 'Julho a agosto');</v>
      </c>
    </row>
    <row r="18" spans="1:23" x14ac:dyDescent="0.25">
      <c r="A18" t="s">
        <v>8</v>
      </c>
      <c r="B18" t="s">
        <v>9</v>
      </c>
      <c r="C18" t="s">
        <v>30</v>
      </c>
      <c r="D18" t="s">
        <v>11</v>
      </c>
      <c r="E18" s="45"/>
      <c r="F18" s="45" t="s">
        <v>12</v>
      </c>
      <c r="G18" s="45" t="s">
        <v>13</v>
      </c>
      <c r="H18" s="45" t="s">
        <v>14</v>
      </c>
      <c r="J18" s="130" t="str">
        <f t="shared" si="3"/>
        <v>INSERT INTO EspecieVegetal (EspecieVegetalID, DesignacaoEspecie, NomeComum, TipoCulturaID) VALUES (4, 'Pyrus pyrifolia', 'Pera Nashi', 1);</v>
      </c>
      <c r="K18" s="130"/>
      <c r="L18" s="130"/>
      <c r="M18" s="130"/>
      <c r="N18" s="130"/>
      <c r="O18" s="130"/>
      <c r="P18" s="130"/>
      <c r="Q18" s="130"/>
      <c r="S18" s="17" cm="1">
        <f t="array" ref="S18">_xlfn.XLOOKUP(A18&amp;B18,$K$2:$K$13&amp;$L$2:$L$13,$J$2:$J$13)</f>
        <v>1</v>
      </c>
      <c r="T18" s="12" t="str">
        <v>LAETITIA</v>
      </c>
      <c r="U18" s="13">
        <v>17</v>
      </c>
      <c r="V18" t="str">
        <f t="shared" si="0"/>
        <v>Ameixoeira LAETITIA</v>
      </c>
      <c r="W18" s="18" t="str">
        <f t="shared" si="1"/>
        <v>INSERT INTO Cultura(CulturaID, Variedade, EspecieVegetalID, EpocaSementeiraPlantacao, EpocaPoda, EpocaFloracao, EpocaColheita) VALUES (17, 'LAETITIA', 1, '', 'Novembro a dezembro', 'Fevereiro a março', 'Julho a agosto');</v>
      </c>
    </row>
    <row r="19" spans="1:23" x14ac:dyDescent="0.25">
      <c r="A19" t="s">
        <v>8</v>
      </c>
      <c r="B19" t="s">
        <v>9</v>
      </c>
      <c r="C19" t="s">
        <v>31</v>
      </c>
      <c r="D19" t="s">
        <v>11</v>
      </c>
      <c r="E19" s="45"/>
      <c r="F19" s="45" t="s">
        <v>12</v>
      </c>
      <c r="G19" s="45" t="s">
        <v>13</v>
      </c>
      <c r="H19" s="45" t="s">
        <v>14</v>
      </c>
      <c r="J19" s="130" t="str">
        <f t="shared" si="3"/>
        <v>INSERT INTO EspecieVegetal (EspecieVegetalID, DesignacaoEspecie, NomeComum, TipoCulturaID) VALUES (5, 'Daucus carota subsp. Sativus', 'Cenoura', 2);</v>
      </c>
      <c r="K19" s="130"/>
      <c r="L19" s="130"/>
      <c r="M19" s="130"/>
      <c r="N19" s="130"/>
      <c r="O19" s="130"/>
      <c r="P19" s="130"/>
      <c r="Q19" s="130"/>
      <c r="S19" s="17" cm="1">
        <f t="array" ref="S19">_xlfn.XLOOKUP(A19&amp;B19,$K$2:$K$13&amp;$L$2:$L$13,$J$2:$J$13)</f>
        <v>1</v>
      </c>
      <c r="T19" s="12" t="str">
        <v>METLEY</v>
      </c>
      <c r="U19" s="13">
        <v>18</v>
      </c>
      <c r="V19" t="str">
        <f t="shared" si="0"/>
        <v>Ameixoeira METLEY</v>
      </c>
      <c r="W19" s="18" t="str">
        <f t="shared" si="1"/>
        <v>INSERT INTO Cultura(CulturaID, Variedade, EspecieVegetalID, EpocaSementeiraPlantacao, EpocaPoda, EpocaFloracao, EpocaColheita) VALUES (18, 'METLEY', 1, '', 'Novembro a dezembro', 'Fevereiro a março', 'Julho a agosto');</v>
      </c>
    </row>
    <row r="20" spans="1:23" x14ac:dyDescent="0.25">
      <c r="A20" t="s">
        <v>8</v>
      </c>
      <c r="B20" t="s">
        <v>9</v>
      </c>
      <c r="C20" t="s">
        <v>32</v>
      </c>
      <c r="D20" t="s">
        <v>11</v>
      </c>
      <c r="E20" s="45"/>
      <c r="F20" s="45" t="s">
        <v>12</v>
      </c>
      <c r="G20" s="45" t="s">
        <v>13</v>
      </c>
      <c r="H20" s="45" t="s">
        <v>14</v>
      </c>
      <c r="J20" s="130" t="str">
        <f t="shared" si="3"/>
        <v>INSERT INTO EspecieVegetal (EspecieVegetalID, DesignacaoEspecie, NomeComum, TipoCulturaID) VALUES (6, 'Lupinus luteus', 'Tremoço', 2);</v>
      </c>
      <c r="K20" s="130"/>
      <c r="L20" s="130"/>
      <c r="M20" s="130"/>
      <c r="N20" s="130"/>
      <c r="O20" s="130"/>
      <c r="P20" s="130"/>
      <c r="Q20" s="130"/>
      <c r="S20" s="17" cm="1">
        <f t="array" ref="S20">_xlfn.XLOOKUP(A20&amp;B20,$K$2:$K$13&amp;$L$2:$L$13,$J$2:$J$13)</f>
        <v>1</v>
      </c>
      <c r="T20" s="12" t="str">
        <v>MIRABELLE DE NANCY</v>
      </c>
      <c r="U20" s="13">
        <v>19</v>
      </c>
      <c r="V20" t="str">
        <f t="shared" si="0"/>
        <v>Ameixoeira MIRABELLE DE NANCY</v>
      </c>
      <c r="W20" s="18" t="str">
        <f t="shared" si="1"/>
        <v>INSERT INTO Cultura(CulturaID, Variedade, EspecieVegetalID, EpocaSementeiraPlantacao, EpocaPoda, EpocaFloracao, EpocaColheita) VALUES (19, 'MIRABELLE DE NANCY', 1, '', 'Novembro a dezembro', 'Fevereiro a março', 'Julho a agosto');</v>
      </c>
    </row>
    <row r="21" spans="1:23" x14ac:dyDescent="0.25">
      <c r="A21" t="s">
        <v>8</v>
      </c>
      <c r="B21" t="s">
        <v>9</v>
      </c>
      <c r="C21" t="s">
        <v>33</v>
      </c>
      <c r="D21" t="s">
        <v>11</v>
      </c>
      <c r="E21" s="45"/>
      <c r="F21" s="45" t="s">
        <v>12</v>
      </c>
      <c r="G21" s="45" t="s">
        <v>13</v>
      </c>
      <c r="H21" s="45" t="s">
        <v>14</v>
      </c>
      <c r="J21" s="130" t="str">
        <f t="shared" ref="J21" si="4">"INSERT INTO EspecieVegetal (EspecieVegetalID, DesignacaoEspecie, NomeComum, TipoCulturaID) VALUES ("&amp;J8&amp;", '"&amp;K8&amp;"', '"&amp;L8&amp;"', "&amp;M8&amp;");"</f>
        <v>INSERT INTO EspecieVegetal (EspecieVegetalID, DesignacaoEspecie, NomeComum, TipoCulturaID) VALUES (7, 'Lupinus albus', 'Tremoço', 2);</v>
      </c>
      <c r="K21" s="130"/>
      <c r="L21" s="130"/>
      <c r="M21" s="130"/>
      <c r="N21" s="130"/>
      <c r="O21" s="130"/>
      <c r="P21" s="130"/>
      <c r="Q21" s="130"/>
      <c r="S21" s="17" cm="1">
        <f t="array" ref="S21">_xlfn.XLOOKUP(A21&amp;B21,$K$2:$K$13&amp;$L$2:$L$13,$J$2:$J$13)</f>
        <v>1</v>
      </c>
      <c r="T21" s="12" t="str">
        <v>QUEEN ROSE</v>
      </c>
      <c r="U21" s="13">
        <v>20</v>
      </c>
      <c r="V21" t="str">
        <f t="shared" si="0"/>
        <v>Ameixoeira QUEEN ROSE</v>
      </c>
      <c r="W21" s="18" t="str">
        <f t="shared" si="1"/>
        <v>INSERT INTO Cultura(CulturaID, Variedade, EspecieVegetalID, EpocaSementeiraPlantacao, EpocaPoda, EpocaFloracao, EpocaColheita) VALUES (20, 'QUEEN ROSE', 1, '', 'Novembro a dezembro', 'Fevereiro a março', 'Julho a agosto');</v>
      </c>
    </row>
    <row r="22" spans="1:23" x14ac:dyDescent="0.25">
      <c r="A22" t="s">
        <v>8</v>
      </c>
      <c r="B22" t="s">
        <v>9</v>
      </c>
      <c r="C22" t="s">
        <v>34</v>
      </c>
      <c r="D22" t="s">
        <v>11</v>
      </c>
      <c r="E22" s="45"/>
      <c r="F22" s="45" t="s">
        <v>12</v>
      </c>
      <c r="G22" s="45" t="s">
        <v>13</v>
      </c>
      <c r="H22" s="45" t="s">
        <v>14</v>
      </c>
      <c r="J22" s="130" t="str">
        <f t="shared" ref="J22" si="5">"INSERT INTO EspecieVegetal (EspecieVegetalID, DesignacaoEspecie, NomeComum, TipoCulturaID) VALUES ("&amp;J9&amp;", '"&amp;K9&amp;"', '"&amp;L9&amp;"', "&amp;M9&amp;");"</f>
        <v>INSERT INTO EspecieVegetal (EspecieVegetalID, DesignacaoEspecie, NomeComum, TipoCulturaID) VALUES (8, 'Zea mays', 'Milho', 2);</v>
      </c>
      <c r="K22" s="130"/>
      <c r="L22" s="130"/>
      <c r="M22" s="130"/>
      <c r="N22" s="130"/>
      <c r="O22" s="130"/>
      <c r="P22" s="130"/>
      <c r="Q22" s="130"/>
      <c r="S22" s="17" cm="1">
        <f t="array" ref="S22">_xlfn.XLOOKUP(A22&amp;B22,$K$2:$K$13&amp;$L$2:$L$13,$J$2:$J$13)</f>
        <v>1</v>
      </c>
      <c r="T22" s="12" t="str">
        <v>RED BEAUT</v>
      </c>
      <c r="U22" s="13">
        <v>21</v>
      </c>
      <c r="V22" t="str">
        <f t="shared" si="0"/>
        <v>Ameixoeira RED BEAUT</v>
      </c>
      <c r="W22" s="18" t="str">
        <f t="shared" si="1"/>
        <v>INSERT INTO Cultura(CulturaID, Variedade, EspecieVegetalID, EpocaSementeiraPlantacao, EpocaPoda, EpocaFloracao, EpocaColheita) VALUES (21, 'RED BEAUT', 1, '', 'Novembro a dezembro', 'Fevereiro a março', 'Julho a agosto');</v>
      </c>
    </row>
    <row r="23" spans="1:23" x14ac:dyDescent="0.25">
      <c r="A23" t="s">
        <v>8</v>
      </c>
      <c r="B23" t="s">
        <v>9</v>
      </c>
      <c r="C23" t="s">
        <v>35</v>
      </c>
      <c r="D23" t="s">
        <v>11</v>
      </c>
      <c r="E23" s="45"/>
      <c r="F23" s="45" t="s">
        <v>12</v>
      </c>
      <c r="G23" s="45" t="s">
        <v>13</v>
      </c>
      <c r="H23" s="45" t="s">
        <v>14</v>
      </c>
      <c r="J23" s="130" t="str">
        <f t="shared" ref="J23" si="6">"INSERT INTO EspecieVegetal (EspecieVegetalID, DesignacaoEspecie, NomeComum, TipoCulturaID) VALUES ("&amp;J10&amp;", '"&amp;K10&amp;"', '"&amp;L10&amp;"', "&amp;M10&amp;");"</f>
        <v>INSERT INTO EspecieVegetal (EspecieVegetalID, DesignacaoEspecie, NomeComum, TipoCulturaID) VALUES (9, 'Brassica rapa', 'Nabo greleiro', 2);</v>
      </c>
      <c r="K23" s="130"/>
      <c r="L23" s="130"/>
      <c r="M23" s="130"/>
      <c r="N23" s="130"/>
      <c r="O23" s="130"/>
      <c r="P23" s="130"/>
      <c r="Q23" s="130"/>
      <c r="S23" s="17" cm="1">
        <f t="array" ref="S23">_xlfn.XLOOKUP(A23&amp;B23,$K$2:$K$13&amp;$L$2:$L$13,$J$2:$J$13)</f>
        <v>1</v>
      </c>
      <c r="T23" s="12" t="str">
        <v>SANTA ROSA</v>
      </c>
      <c r="U23" s="13">
        <v>22</v>
      </c>
      <c r="V23" t="str">
        <f t="shared" si="0"/>
        <v>Ameixoeira SANTA ROSA</v>
      </c>
      <c r="W23" s="18" t="str">
        <f t="shared" si="1"/>
        <v>INSERT INTO Cultura(CulturaID, Variedade, EspecieVegetalID, EpocaSementeiraPlantacao, EpocaPoda, EpocaFloracao, EpocaColheita) VALUES (22, 'SANTA ROSA', 1, '', 'Novembro a dezembro', 'Fevereiro a março', 'Julho a agosto');</v>
      </c>
    </row>
    <row r="24" spans="1:23" x14ac:dyDescent="0.25">
      <c r="A24" t="s">
        <v>8</v>
      </c>
      <c r="B24" t="s">
        <v>9</v>
      </c>
      <c r="C24" t="s">
        <v>36</v>
      </c>
      <c r="D24" t="s">
        <v>11</v>
      </c>
      <c r="E24" s="45"/>
      <c r="F24" s="45" t="s">
        <v>12</v>
      </c>
      <c r="G24" s="45" t="s">
        <v>13</v>
      </c>
      <c r="H24" s="45" t="s">
        <v>14</v>
      </c>
      <c r="J24" s="130" t="str">
        <f t="shared" ref="J24:J26" si="7">"INSERT INTO EspecieVegetal (EspecieVegetalID, DesignacaoEspecie, NomeComum, TipoCulturaID) VALUES ("&amp;J11&amp;", '"&amp;K11&amp;"', '"&amp;L11&amp;"', "&amp;M11&amp;");"</f>
        <v>INSERT INTO EspecieVegetal (EspecieVegetalID, DesignacaoEspecie, NomeComum, TipoCulturaID) VALUES (10, 'Olea europaea', 'Oliveira', 1);</v>
      </c>
      <c r="K24" s="130"/>
      <c r="L24" s="130"/>
      <c r="M24" s="130"/>
      <c r="N24" s="130"/>
      <c r="O24" s="130"/>
      <c r="P24" s="130"/>
      <c r="Q24" s="130"/>
      <c r="S24" s="17" cm="1">
        <f t="array" ref="S24">_xlfn.XLOOKUP(A24&amp;B24,$K$2:$K$13&amp;$L$2:$L$13,$J$2:$J$13)</f>
        <v>1</v>
      </c>
      <c r="T24" s="12" t="str">
        <v>SHIRO</v>
      </c>
      <c r="U24" s="13">
        <v>23</v>
      </c>
      <c r="V24" t="str">
        <f t="shared" si="0"/>
        <v>Ameixoeira SHIRO</v>
      </c>
      <c r="W24" s="18" t="str">
        <f t="shared" si="1"/>
        <v>INSERT INTO Cultura(CulturaID, Variedade, EspecieVegetalID, EpocaSementeiraPlantacao, EpocaPoda, EpocaFloracao, EpocaColheita) VALUES (23, 'SHIRO', 1, '', 'Novembro a dezembro', 'Fevereiro a março', 'Julho a agosto');</v>
      </c>
    </row>
    <row r="25" spans="1:23" x14ac:dyDescent="0.25">
      <c r="A25" t="s">
        <v>8</v>
      </c>
      <c r="B25" t="s">
        <v>9</v>
      </c>
      <c r="C25" t="s">
        <v>37</v>
      </c>
      <c r="D25" t="s">
        <v>11</v>
      </c>
      <c r="E25" s="45"/>
      <c r="F25" s="45" t="s">
        <v>12</v>
      </c>
      <c r="G25" s="45" t="s">
        <v>13</v>
      </c>
      <c r="H25" s="45" t="s">
        <v>14</v>
      </c>
      <c r="J25" s="130" t="str">
        <f t="shared" si="7"/>
        <v>INSERT INTO EspecieVegetal (EspecieVegetalID, DesignacaoEspecie, NomeComum, TipoCulturaID) VALUES (11, 'Brassica rapa', 'Nabo', 2);</v>
      </c>
      <c r="K25" s="130"/>
      <c r="L25" s="130"/>
      <c r="M25" s="130"/>
      <c r="N25" s="130"/>
      <c r="O25" s="130"/>
      <c r="P25" s="130"/>
      <c r="Q25" s="130"/>
      <c r="R25" s="33"/>
      <c r="S25" s="17" cm="1">
        <f t="array" ref="S25">_xlfn.XLOOKUP(A25&amp;B25,$K$2:$K$13&amp;$L$2:$L$13,$J$2:$J$13)</f>
        <v>1</v>
      </c>
      <c r="T25" s="12" t="str">
        <v>SUNGOLD</v>
      </c>
      <c r="U25" s="13">
        <v>24</v>
      </c>
      <c r="V25" t="str">
        <f t="shared" si="0"/>
        <v>Ameixoeira SUNGOLD</v>
      </c>
      <c r="W25" s="18" t="str">
        <f t="shared" si="1"/>
        <v>INSERT INTO Cultura(CulturaID, Variedade, EspecieVegetalID, EpocaSementeiraPlantacao, EpocaPoda, EpocaFloracao, EpocaColheita) VALUES (24, 'SUNGOLD', 1, '', 'Novembro a dezembro', 'Fevereiro a março', 'Julho a agosto');</v>
      </c>
    </row>
    <row r="26" spans="1:23" x14ac:dyDescent="0.25">
      <c r="A26" t="s">
        <v>8</v>
      </c>
      <c r="B26" t="s">
        <v>9</v>
      </c>
      <c r="C26" t="s">
        <v>38</v>
      </c>
      <c r="D26" t="s">
        <v>11</v>
      </c>
      <c r="E26" s="45"/>
      <c r="F26" s="45" t="s">
        <v>12</v>
      </c>
      <c r="G26" s="45" t="s">
        <v>13</v>
      </c>
      <c r="H26" s="45" t="s">
        <v>14</v>
      </c>
      <c r="J26" s="130" t="str">
        <f t="shared" si="7"/>
        <v>INSERT INTO EspecieVegetal (EspecieVegetalID, DesignacaoEspecie, NomeComum, TipoCulturaID) VALUES (12, 'Vitis vinifera', 'Videira', 1);</v>
      </c>
      <c r="K26" s="130"/>
      <c r="L26" s="130"/>
      <c r="M26" s="130"/>
      <c r="N26" s="130"/>
      <c r="O26" s="130"/>
      <c r="P26" s="130"/>
      <c r="Q26" s="130"/>
      <c r="S26" s="17" cm="1">
        <f t="array" ref="S26">_xlfn.XLOOKUP(A26&amp;B26,$K$2:$K$13&amp;$L$2:$L$13,$J$2:$J$13)</f>
        <v>1</v>
      </c>
      <c r="T26" s="12" t="str">
        <v>WILSON PERFECTION</v>
      </c>
      <c r="U26" s="13">
        <v>25</v>
      </c>
      <c r="V26" t="str">
        <f t="shared" si="0"/>
        <v>Ameixoeira WILSON PERFECTION</v>
      </c>
      <c r="W26" s="18" t="str">
        <f t="shared" si="1"/>
        <v>INSERT INTO Cultura(CulturaID, Variedade, EspecieVegetalID, EpocaSementeiraPlantacao, EpocaPoda, EpocaFloracao, EpocaColheita) VALUES (25, 'WILSON PERFECTION', 1, '', 'Novembro a dezembro', 'Fevereiro a março', 'Julho a agosto');</v>
      </c>
    </row>
    <row r="27" spans="1:23" x14ac:dyDescent="0.25">
      <c r="A27" t="s">
        <v>8</v>
      </c>
      <c r="B27" t="s">
        <v>9</v>
      </c>
      <c r="C27" t="s">
        <v>39</v>
      </c>
      <c r="D27" t="s">
        <v>11</v>
      </c>
      <c r="E27" s="45"/>
      <c r="F27" s="45" t="s">
        <v>12</v>
      </c>
      <c r="G27" s="45" t="s">
        <v>13</v>
      </c>
      <c r="H27" s="45" t="s">
        <v>14</v>
      </c>
      <c r="S27" s="17" cm="1">
        <f t="array" ref="S27">_xlfn.XLOOKUP(A27&amp;B27,$K$2:$K$13&amp;$L$2:$L$13,$J$2:$J$13)</f>
        <v>1</v>
      </c>
      <c r="T27" s="12" t="str">
        <v>AUTUMN GIANT</v>
      </c>
      <c r="U27" s="13">
        <v>26</v>
      </c>
      <c r="V27" t="str">
        <f t="shared" si="0"/>
        <v>Ameixoeira AUTUMN GIANT</v>
      </c>
      <c r="W27" s="18" t="str">
        <f t="shared" si="1"/>
        <v>INSERT INTO Cultura(CulturaID, Variedade, EspecieVegetalID, EpocaSementeiraPlantacao, EpocaPoda, EpocaFloracao, EpocaColheita) VALUES (26, 'AUTUMN GIANT', 1, '', 'Novembro a dezembro', 'Fevereiro a março', 'Julho a agosto');</v>
      </c>
    </row>
    <row r="28" spans="1:23" ht="15.75" thickBot="1" x14ac:dyDescent="0.3">
      <c r="A28" t="s">
        <v>40</v>
      </c>
      <c r="B28" t="s">
        <v>41</v>
      </c>
      <c r="C28" t="s">
        <v>42</v>
      </c>
      <c r="D28" t="s">
        <v>11</v>
      </c>
      <c r="E28" s="45"/>
      <c r="F28" s="45" t="s">
        <v>12</v>
      </c>
      <c r="G28" s="45" t="s">
        <v>13</v>
      </c>
      <c r="H28" s="45" t="s">
        <v>14</v>
      </c>
      <c r="S28" s="17" cm="1">
        <f t="array" ref="S28">_xlfn.XLOOKUP(A28&amp;B28,$K$2:$K$13&amp;$L$2:$L$13,$J$2:$J$13)</f>
        <v>2</v>
      </c>
      <c r="T28" s="12" t="str">
        <v>BULIDA</v>
      </c>
      <c r="U28" s="13">
        <v>27</v>
      </c>
      <c r="V28" t="str">
        <f t="shared" si="0"/>
        <v>Damasqueiro BULIDA</v>
      </c>
      <c r="W28" s="18" t="str">
        <f t="shared" si="1"/>
        <v>INSERT INTO Cultura(CulturaID, Variedade, EspecieVegetalID, EpocaSementeiraPlantacao, EpocaPoda, EpocaFloracao, EpocaColheita) VALUES (27, 'BULIDA', 2, '', 'Novembro a dezembro', 'Fevereiro a março', 'Julho a agosto');</v>
      </c>
    </row>
    <row r="29" spans="1:23" x14ac:dyDescent="0.25">
      <c r="A29" t="s">
        <v>40</v>
      </c>
      <c r="B29" t="s">
        <v>41</v>
      </c>
      <c r="C29" t="s">
        <v>43</v>
      </c>
      <c r="D29" t="s">
        <v>11</v>
      </c>
      <c r="E29" s="45"/>
      <c r="F29" s="45" t="s">
        <v>12</v>
      </c>
      <c r="G29" s="45" t="s">
        <v>13</v>
      </c>
      <c r="H29" s="45" t="s">
        <v>14</v>
      </c>
      <c r="J29" s="131" t="s">
        <v>259</v>
      </c>
      <c r="K29" s="132"/>
      <c r="S29" s="17" cm="1">
        <f t="array" ref="S29">_xlfn.XLOOKUP(A29&amp;B29,$K$2:$K$13&amp;$L$2:$L$13,$J$2:$J$13)</f>
        <v>2</v>
      </c>
      <c r="T29" s="12" t="str">
        <v>CANINO</v>
      </c>
      <c r="U29" s="13">
        <v>28</v>
      </c>
      <c r="V29" t="str">
        <f t="shared" si="0"/>
        <v>Damasqueiro CANINO</v>
      </c>
      <c r="W29" s="18" t="str">
        <f t="shared" si="1"/>
        <v>INSERT INTO Cultura(CulturaID, Variedade, EspecieVegetalID, EpocaSementeiraPlantacao, EpocaPoda, EpocaFloracao, EpocaColheita) VALUES (28, 'CANINO', 2, '', 'Novembro a dezembro', 'Fevereiro a março', 'Julho a agosto');</v>
      </c>
    </row>
    <row r="30" spans="1:23" x14ac:dyDescent="0.25">
      <c r="A30" t="s">
        <v>40</v>
      </c>
      <c r="B30" t="s">
        <v>41</v>
      </c>
      <c r="C30" t="s">
        <v>44</v>
      </c>
      <c r="D30" t="s">
        <v>11</v>
      </c>
      <c r="E30" s="45"/>
      <c r="F30" s="45" t="s">
        <v>12</v>
      </c>
      <c r="G30" s="45" t="s">
        <v>13</v>
      </c>
      <c r="H30" s="45" t="s">
        <v>14</v>
      </c>
      <c r="J30" s="19" t="s">
        <v>260</v>
      </c>
      <c r="K30" s="20" t="s">
        <v>261</v>
      </c>
      <c r="S30" s="17" cm="1">
        <f t="array" ref="S30">_xlfn.XLOOKUP(A30&amp;B30,$K$2:$K$13&amp;$L$2:$L$13,$J$2:$J$13)</f>
        <v>2</v>
      </c>
      <c r="T30" s="12" t="str">
        <v>LIABAUD</v>
      </c>
      <c r="U30" s="13">
        <v>29</v>
      </c>
      <c r="V30" t="str">
        <f t="shared" si="0"/>
        <v>Damasqueiro LIABAUD</v>
      </c>
      <c r="W30" s="18" t="str">
        <f t="shared" si="1"/>
        <v>INSERT INTO Cultura(CulturaID, Variedade, EspecieVegetalID, EpocaSementeiraPlantacao, EpocaPoda, EpocaFloracao, EpocaColheita) VALUES (29, 'LIABAUD', 2, '', 'Novembro a dezembro', 'Fevereiro a março', 'Julho a agosto');</v>
      </c>
    </row>
    <row r="31" spans="1:23" x14ac:dyDescent="0.25">
      <c r="A31" t="s">
        <v>40</v>
      </c>
      <c r="B31" t="s">
        <v>41</v>
      </c>
      <c r="C31" t="s">
        <v>45</v>
      </c>
      <c r="D31" t="s">
        <v>11</v>
      </c>
      <c r="E31" s="45"/>
      <c r="F31" s="45" t="s">
        <v>12</v>
      </c>
      <c r="G31" s="45" t="s">
        <v>13</v>
      </c>
      <c r="H31" s="45" t="s">
        <v>14</v>
      </c>
      <c r="J31" s="19">
        <v>1</v>
      </c>
      <c r="K31" s="20" t="str" cm="1">
        <f t="array" ref="K31:K32">_xlfn.UNIQUE(D2:D96)</f>
        <v>Permanente</v>
      </c>
      <c r="S31" s="17" cm="1">
        <f t="array" ref="S31">_xlfn.XLOOKUP(A31&amp;B31,$K$2:$K$13&amp;$L$2:$L$13,$J$2:$J$13)</f>
        <v>2</v>
      </c>
      <c r="T31" s="12" t="str">
        <v>MAILLOT JAUNE</v>
      </c>
      <c r="U31" s="13">
        <v>30</v>
      </c>
      <c r="V31" t="str">
        <f t="shared" si="0"/>
        <v>Damasqueiro MAILLOT JAUNE</v>
      </c>
      <c r="W31" s="18" t="str">
        <f t="shared" si="1"/>
        <v>INSERT INTO Cultura(CulturaID, Variedade, EspecieVegetalID, EpocaSementeiraPlantacao, EpocaPoda, EpocaFloracao, EpocaColheita) VALUES (30, 'MAILLOT JAUNE', 2, '', 'Novembro a dezembro', 'Fevereiro a março', 'Julho a agosto');</v>
      </c>
    </row>
    <row r="32" spans="1:23" ht="15.75" thickBot="1" x14ac:dyDescent="0.3">
      <c r="A32" t="s">
        <v>40</v>
      </c>
      <c r="B32" t="s">
        <v>41</v>
      </c>
      <c r="C32" t="s">
        <v>46</v>
      </c>
      <c r="D32" t="s">
        <v>11</v>
      </c>
      <c r="E32" s="45"/>
      <c r="F32" s="45" t="s">
        <v>12</v>
      </c>
      <c r="G32" s="45" t="s">
        <v>13</v>
      </c>
      <c r="H32" s="45" t="s">
        <v>14</v>
      </c>
      <c r="J32" s="21">
        <v>2</v>
      </c>
      <c r="K32" s="22" t="str">
        <v>Temporária</v>
      </c>
      <c r="S32" s="17" cm="1">
        <f t="array" ref="S32">_xlfn.XLOOKUP(A32&amp;B32,$K$2:$K$13&amp;$L$2:$L$13,$J$2:$J$13)</f>
        <v>2</v>
      </c>
      <c r="T32" s="12" t="str">
        <v>POLONAIS</v>
      </c>
      <c r="U32" s="13">
        <v>31</v>
      </c>
      <c r="V32" t="str">
        <f t="shared" si="0"/>
        <v>Damasqueiro POLONAIS</v>
      </c>
      <c r="W32" s="18" t="str">
        <f t="shared" si="1"/>
        <v>INSERT INTO Cultura(CulturaID, Variedade, EspecieVegetalID, EpocaSementeiraPlantacao, EpocaPoda, EpocaFloracao, EpocaColheita) VALUES (31, 'POLONAIS', 2, '', 'Novembro a dezembro', 'Fevereiro a março', 'Julho a agosto');</v>
      </c>
    </row>
    <row r="33" spans="1:23" x14ac:dyDescent="0.25">
      <c r="A33" t="s">
        <v>47</v>
      </c>
      <c r="B33" t="s">
        <v>48</v>
      </c>
      <c r="C33" t="s">
        <v>49</v>
      </c>
      <c r="D33" t="s">
        <v>11</v>
      </c>
      <c r="E33" s="45"/>
      <c r="F33" s="45" t="s">
        <v>12</v>
      </c>
      <c r="G33" s="45" t="s">
        <v>50</v>
      </c>
      <c r="H33" s="45" t="s">
        <v>51</v>
      </c>
      <c r="J33" s="129" t="str">
        <f>"INSERT INTO TipoCultura(TipoCulturaID, DesignacaoTipoCultura) VALUES ("&amp;J31&amp;", '"&amp;K31&amp;"');"</f>
        <v>INSERT INTO TipoCultura(TipoCulturaID, DesignacaoTipoCultura) VALUES (1, 'Permanente');</v>
      </c>
      <c r="K33" s="129"/>
      <c r="L33" s="129"/>
      <c r="M33" s="129"/>
      <c r="N33" s="129"/>
      <c r="O33" s="129"/>
      <c r="P33" s="104">
        <v>1</v>
      </c>
      <c r="S33" s="17" cm="1">
        <f t="array" ref="S33">_xlfn.XLOOKUP(A33&amp;B33,$K$2:$K$13&amp;$L$2:$L$13,$J$2:$J$13)</f>
        <v>3</v>
      </c>
      <c r="T33" s="12" t="str">
        <v>AKANE</v>
      </c>
      <c r="U33" s="13">
        <v>32</v>
      </c>
      <c r="V33" t="str">
        <f t="shared" si="0"/>
        <v>Macieira AKANE</v>
      </c>
      <c r="W33" s="18" t="str">
        <f t="shared" si="1"/>
        <v>INSERT INTO Cultura(CulturaID, Variedade, EspecieVegetalID, EpocaSementeiraPlantacao, EpocaPoda, EpocaFloracao, EpocaColheita) VALUES (32, 'AKANE', 3, '', 'Novembro a dezembro', 'Março a abril', 'Agosto a setembro');</v>
      </c>
    </row>
    <row r="34" spans="1:23" x14ac:dyDescent="0.25">
      <c r="A34" t="s">
        <v>47</v>
      </c>
      <c r="B34" t="s">
        <v>48</v>
      </c>
      <c r="C34" t="s">
        <v>52</v>
      </c>
      <c r="D34" t="s">
        <v>11</v>
      </c>
      <c r="E34" s="45"/>
      <c r="F34" s="45" t="s">
        <v>12</v>
      </c>
      <c r="G34" s="45" t="s">
        <v>50</v>
      </c>
      <c r="H34" s="45" t="s">
        <v>51</v>
      </c>
      <c r="J34" s="129" t="str">
        <f>"INSERT INTO TipoCultura(TipoCulturaID, DesignacaoTipoCultura) VALUES ("&amp;J32&amp;", '"&amp;K32&amp;"');"</f>
        <v>INSERT INTO TipoCultura(TipoCulturaID, DesignacaoTipoCultura) VALUES (2, 'Temporária');</v>
      </c>
      <c r="K34" s="129"/>
      <c r="L34" s="129"/>
      <c r="M34" s="129"/>
      <c r="N34" s="129"/>
      <c r="O34" s="129"/>
      <c r="S34" s="17" cm="1">
        <f t="array" ref="S34">_xlfn.XLOOKUP(A34&amp;B34,$K$2:$K$13&amp;$L$2:$L$13,$J$2:$J$13)</f>
        <v>3</v>
      </c>
      <c r="T34" s="12" t="str">
        <v>BELGOLDEN</v>
      </c>
      <c r="U34" s="13">
        <v>33</v>
      </c>
      <c r="V34" t="str">
        <f t="shared" ref="V34:V65" si="8">_xlfn.CONCAT(B34," ",C34)</f>
        <v>Macieira BELGOLDEN</v>
      </c>
      <c r="W34" s="18" t="str">
        <f t="shared" si="1"/>
        <v>INSERT INTO Cultura(CulturaID, Variedade, EspecieVegetalID, EpocaSementeiraPlantacao, EpocaPoda, EpocaFloracao, EpocaColheita) VALUES (33, 'BELGOLDEN', 3, '', 'Novembro a dezembro', 'Março a abril', 'Agosto a setembro');</v>
      </c>
    </row>
    <row r="35" spans="1:23" x14ac:dyDescent="0.25">
      <c r="A35" t="s">
        <v>47</v>
      </c>
      <c r="B35" t="s">
        <v>48</v>
      </c>
      <c r="C35" t="s">
        <v>53</v>
      </c>
      <c r="D35" t="s">
        <v>11</v>
      </c>
      <c r="E35" s="45"/>
      <c r="F35" s="45" t="s">
        <v>12</v>
      </c>
      <c r="G35" s="45" t="s">
        <v>50</v>
      </c>
      <c r="H35" s="45" t="s">
        <v>51</v>
      </c>
      <c r="S35" s="17" cm="1">
        <f t="array" ref="S35">_xlfn.XLOOKUP(A35&amp;B35,$K$2:$K$13&amp;$L$2:$L$13,$J$2:$J$13)</f>
        <v>3</v>
      </c>
      <c r="T35" s="12" t="str">
        <v>BRAVO DE ESMOLFE</v>
      </c>
      <c r="U35" s="13">
        <v>34</v>
      </c>
      <c r="V35" t="str">
        <f t="shared" si="8"/>
        <v>Macieira BRAVO DE ESMOLFE</v>
      </c>
      <c r="W35" s="18" t="str">
        <f t="shared" si="1"/>
        <v>INSERT INTO Cultura(CulturaID, Variedade, EspecieVegetalID, EpocaSementeiraPlantacao, EpocaPoda, EpocaFloracao, EpocaColheita) VALUES (34, 'BRAVO DE ESMOLFE', 3, '', 'Novembro a dezembro', 'Março a abril', 'Agosto a setembro');</v>
      </c>
    </row>
    <row r="36" spans="1:23" x14ac:dyDescent="0.25">
      <c r="A36" t="s">
        <v>47</v>
      </c>
      <c r="B36" t="s">
        <v>48</v>
      </c>
      <c r="C36" t="s">
        <v>54</v>
      </c>
      <c r="D36" t="s">
        <v>11</v>
      </c>
      <c r="E36" s="45"/>
      <c r="F36" s="45" t="s">
        <v>12</v>
      </c>
      <c r="G36" s="45" t="s">
        <v>50</v>
      </c>
      <c r="H36" s="45" t="s">
        <v>51</v>
      </c>
      <c r="S36" s="17" cm="1">
        <f t="array" ref="S36">_xlfn.XLOOKUP(A36&amp;B36,$K$2:$K$13&amp;$L$2:$L$13,$J$2:$J$13)</f>
        <v>3</v>
      </c>
      <c r="T36" s="12" t="str">
        <v>CASA NOVA DE ALCOBAÇA</v>
      </c>
      <c r="U36" s="13">
        <v>35</v>
      </c>
      <c r="V36" t="str">
        <f t="shared" si="8"/>
        <v>Macieira CASA NOVA DE ALCOBAÇA</v>
      </c>
      <c r="W36" s="18" t="str">
        <f t="shared" si="1"/>
        <v>INSERT INTO Cultura(CulturaID, Variedade, EspecieVegetalID, EpocaSementeiraPlantacao, EpocaPoda, EpocaFloracao, EpocaColheita) VALUES (35, 'CASA NOVA DE ALCOBAÇA', 3, '', 'Novembro a dezembro', 'Março a abril', 'Agosto a setembro');</v>
      </c>
    </row>
    <row r="37" spans="1:23" x14ac:dyDescent="0.25">
      <c r="A37" t="s">
        <v>47</v>
      </c>
      <c r="B37" t="s">
        <v>48</v>
      </c>
      <c r="C37" t="s">
        <v>55</v>
      </c>
      <c r="D37" t="s">
        <v>11</v>
      </c>
      <c r="E37" s="45"/>
      <c r="F37" s="45" t="s">
        <v>12</v>
      </c>
      <c r="G37" s="45" t="s">
        <v>50</v>
      </c>
      <c r="H37" s="45" t="s">
        <v>51</v>
      </c>
      <c r="J37" s="2"/>
      <c r="K37" s="2"/>
      <c r="L37" s="2"/>
      <c r="M37" s="2"/>
      <c r="N37" s="2"/>
      <c r="O37" s="2"/>
      <c r="P37" s="2"/>
      <c r="Q37" s="2"/>
      <c r="S37" s="17" cm="1">
        <f t="array" ref="S37">_xlfn.XLOOKUP(A37&amp;B37,$K$2:$K$13&amp;$L$2:$L$13,$J$2:$J$13)</f>
        <v>3</v>
      </c>
      <c r="T37" s="12" t="str">
        <v>EROVAN</v>
      </c>
      <c r="U37" s="13">
        <v>36</v>
      </c>
      <c r="V37" t="str">
        <f t="shared" si="8"/>
        <v>Macieira EROVAN</v>
      </c>
      <c r="W37" s="18" t="str">
        <f t="shared" si="1"/>
        <v>INSERT INTO Cultura(CulturaID, Variedade, EspecieVegetalID, EpocaSementeiraPlantacao, EpocaPoda, EpocaFloracao, EpocaColheita) VALUES (36, 'EROVAN', 3, '', 'Novembro a dezembro', 'Março a abril', 'Agosto a setembro');</v>
      </c>
    </row>
    <row r="38" spans="1:23" x14ac:dyDescent="0.25">
      <c r="A38" t="s">
        <v>47</v>
      </c>
      <c r="B38" t="s">
        <v>48</v>
      </c>
      <c r="C38" t="s">
        <v>56</v>
      </c>
      <c r="D38" t="s">
        <v>11</v>
      </c>
      <c r="E38" s="45"/>
      <c r="F38" s="45" t="s">
        <v>12</v>
      </c>
      <c r="G38" s="45" t="s">
        <v>50</v>
      </c>
      <c r="H38" s="45" t="s">
        <v>51</v>
      </c>
      <c r="Q38" s="2"/>
      <c r="S38" s="17" cm="1">
        <f t="array" ref="S38">_xlfn.XLOOKUP(A38&amp;B38,$K$2:$K$13&amp;$L$2:$L$13,$J$2:$J$13)</f>
        <v>3</v>
      </c>
      <c r="T38" s="12" t="str">
        <v>FUJI</v>
      </c>
      <c r="U38" s="13">
        <v>37</v>
      </c>
      <c r="V38" t="str">
        <f t="shared" si="8"/>
        <v>Macieira FUJI</v>
      </c>
      <c r="W38" s="18" t="str">
        <f t="shared" si="1"/>
        <v>INSERT INTO Cultura(CulturaID, Variedade, EspecieVegetalID, EpocaSementeiraPlantacao, EpocaPoda, EpocaFloracao, EpocaColheita) VALUES (37, 'FUJI', 3, '', 'Novembro a dezembro', 'Março a abril', 'Agosto a setembro');</v>
      </c>
    </row>
    <row r="39" spans="1:23" x14ac:dyDescent="0.25">
      <c r="A39" t="s">
        <v>47</v>
      </c>
      <c r="B39" t="s">
        <v>48</v>
      </c>
      <c r="C39" t="s">
        <v>57</v>
      </c>
      <c r="D39" t="s">
        <v>11</v>
      </c>
      <c r="E39" s="45"/>
      <c r="F39" s="45" t="s">
        <v>12</v>
      </c>
      <c r="G39" s="45" t="s">
        <v>50</v>
      </c>
      <c r="H39" s="45" t="s">
        <v>51</v>
      </c>
      <c r="Q39" s="2"/>
      <c r="S39" s="17" cm="1">
        <f t="array" ref="S39">_xlfn.XLOOKUP(A39&amp;B39,$K$2:$K$13&amp;$L$2:$L$13,$J$2:$J$13)</f>
        <v>3</v>
      </c>
      <c r="T39" s="12" t="str">
        <v>GRANNY SMITH</v>
      </c>
      <c r="U39" s="13">
        <v>38</v>
      </c>
      <c r="V39" t="str">
        <f t="shared" si="8"/>
        <v>Macieira GRANNY SMITH</v>
      </c>
      <c r="W39" s="18" t="str">
        <f t="shared" si="1"/>
        <v>INSERT INTO Cultura(CulturaID, Variedade, EspecieVegetalID, EpocaSementeiraPlantacao, EpocaPoda, EpocaFloracao, EpocaColheita) VALUES (38, 'GRANNY SMITH', 3, '', 'Novembro a dezembro', 'Março a abril', 'Agosto a setembro');</v>
      </c>
    </row>
    <row r="40" spans="1:23" x14ac:dyDescent="0.25">
      <c r="A40" t="s">
        <v>47</v>
      </c>
      <c r="B40" t="s">
        <v>48</v>
      </c>
      <c r="C40" t="s">
        <v>58</v>
      </c>
      <c r="D40" t="s">
        <v>11</v>
      </c>
      <c r="E40" s="45"/>
      <c r="F40" s="45" t="s">
        <v>12</v>
      </c>
      <c r="G40" s="45" t="s">
        <v>50</v>
      </c>
      <c r="H40" s="45" t="s">
        <v>51</v>
      </c>
      <c r="S40" s="17" cm="1">
        <f t="array" ref="S40">_xlfn.XLOOKUP(A40&amp;B40,$K$2:$K$13&amp;$L$2:$L$13,$J$2:$J$13)</f>
        <v>3</v>
      </c>
      <c r="T40" s="12" t="str">
        <v>GOLDEN DELICIOUS</v>
      </c>
      <c r="U40" s="13">
        <v>39</v>
      </c>
      <c r="V40" t="str">
        <f t="shared" si="8"/>
        <v>Macieira GOLDEN DELICIOUS</v>
      </c>
      <c r="W40" s="18" t="str">
        <f t="shared" si="1"/>
        <v>INSERT INTO Cultura(CulturaID, Variedade, EspecieVegetalID, EpocaSementeiraPlantacao, EpocaPoda, EpocaFloracao, EpocaColheita) VALUES (39, 'GOLDEN DELICIOUS', 3, '', 'Novembro a dezembro', 'Março a abril', 'Agosto a setembro');</v>
      </c>
    </row>
    <row r="41" spans="1:23" x14ac:dyDescent="0.25">
      <c r="A41" t="s">
        <v>47</v>
      </c>
      <c r="B41" t="s">
        <v>48</v>
      </c>
      <c r="C41" t="s">
        <v>59</v>
      </c>
      <c r="D41" t="s">
        <v>11</v>
      </c>
      <c r="E41" s="45"/>
      <c r="F41" s="45" t="s">
        <v>12</v>
      </c>
      <c r="G41" s="45" t="s">
        <v>50</v>
      </c>
      <c r="H41" s="45" t="s">
        <v>51</v>
      </c>
      <c r="S41" s="17" cm="1">
        <f t="array" ref="S41">_xlfn.XLOOKUP(A41&amp;B41,$K$2:$K$13&amp;$L$2:$L$13,$J$2:$J$13)</f>
        <v>3</v>
      </c>
      <c r="T41" s="12" t="str">
        <v>HI-EARLY</v>
      </c>
      <c r="U41" s="13">
        <v>40</v>
      </c>
      <c r="V41" t="str">
        <f t="shared" si="8"/>
        <v>Macieira HI-EARLY</v>
      </c>
      <c r="W41" s="18" t="str">
        <f t="shared" si="1"/>
        <v>INSERT INTO Cultura(CulturaID, Variedade, EspecieVegetalID, EpocaSementeiraPlantacao, EpocaPoda, EpocaFloracao, EpocaColheita) VALUES (40, 'HI-EARLY', 3, '', 'Novembro a dezembro', 'Março a abril', 'Agosto a setembro');</v>
      </c>
    </row>
    <row r="42" spans="1:23" x14ac:dyDescent="0.25">
      <c r="A42" t="s">
        <v>47</v>
      </c>
      <c r="B42" t="s">
        <v>48</v>
      </c>
      <c r="C42" t="s">
        <v>60</v>
      </c>
      <c r="D42" t="s">
        <v>11</v>
      </c>
      <c r="E42" s="45"/>
      <c r="F42" s="45" t="s">
        <v>12</v>
      </c>
      <c r="G42" s="45" t="s">
        <v>50</v>
      </c>
      <c r="H42" s="45" t="s">
        <v>51</v>
      </c>
      <c r="S42" s="17" cm="1">
        <f t="array" ref="S42">_xlfn.XLOOKUP(A42&amp;B42,$K$2:$K$13&amp;$L$2:$L$13,$J$2:$J$13)</f>
        <v>3</v>
      </c>
      <c r="T42" s="12" t="str">
        <v>JONAGORED</v>
      </c>
      <c r="U42" s="13">
        <v>41</v>
      </c>
      <c r="V42" t="str">
        <f t="shared" si="8"/>
        <v>Macieira JONAGORED</v>
      </c>
      <c r="W42" s="18" t="str">
        <f t="shared" si="1"/>
        <v>INSERT INTO Cultura(CulturaID, Variedade, EspecieVegetalID, EpocaSementeiraPlantacao, EpocaPoda, EpocaFloracao, EpocaColheita) VALUES (41, 'JONAGORED', 3, '', 'Novembro a dezembro', 'Março a abril', 'Agosto a setembro');</v>
      </c>
    </row>
    <row r="43" spans="1:23" x14ac:dyDescent="0.25">
      <c r="A43" t="s">
        <v>47</v>
      </c>
      <c r="B43" t="s">
        <v>48</v>
      </c>
      <c r="C43" t="s">
        <v>61</v>
      </c>
      <c r="D43" t="s">
        <v>11</v>
      </c>
      <c r="E43" s="45"/>
      <c r="F43" s="45" t="s">
        <v>12</v>
      </c>
      <c r="G43" s="45" t="s">
        <v>50</v>
      </c>
      <c r="H43" s="45" t="s">
        <v>51</v>
      </c>
      <c r="P43" s="33"/>
      <c r="S43" s="17" cm="1">
        <f t="array" ref="S43">_xlfn.XLOOKUP(A43&amp;B43,$K$2:$K$13&amp;$L$2:$L$13,$J$2:$J$13)</f>
        <v>3</v>
      </c>
      <c r="T43" s="12" t="str">
        <v>LYSGOLDEN</v>
      </c>
      <c r="U43" s="13">
        <v>42</v>
      </c>
      <c r="V43" t="str">
        <f t="shared" si="8"/>
        <v>Macieira LYSGOLDEN</v>
      </c>
      <c r="W43" s="18" t="str">
        <f t="shared" si="1"/>
        <v>INSERT INTO Cultura(CulturaID, Variedade, EspecieVegetalID, EpocaSementeiraPlantacao, EpocaPoda, EpocaFloracao, EpocaColheita) VALUES (42, 'LYSGOLDEN', 3, '', 'Novembro a dezembro', 'Março a abril', 'Agosto a setembro');</v>
      </c>
    </row>
    <row r="44" spans="1:23" x14ac:dyDescent="0.25">
      <c r="A44" t="s">
        <v>47</v>
      </c>
      <c r="B44" t="s">
        <v>48</v>
      </c>
      <c r="C44" t="s">
        <v>62</v>
      </c>
      <c r="D44" t="s">
        <v>11</v>
      </c>
      <c r="E44" s="45"/>
      <c r="F44" s="45" t="s">
        <v>12</v>
      </c>
      <c r="G44" s="45" t="s">
        <v>50</v>
      </c>
      <c r="H44" s="45" t="s">
        <v>51</v>
      </c>
      <c r="P44" s="33"/>
      <c r="S44" s="17" cm="1">
        <f t="array" ref="S44">_xlfn.XLOOKUP(A44&amp;B44,$K$2:$K$13&amp;$L$2:$L$13,$J$2:$J$13)</f>
        <v>3</v>
      </c>
      <c r="T44" s="12" t="str">
        <v>MUTSU</v>
      </c>
      <c r="U44" s="13">
        <v>43</v>
      </c>
      <c r="V44" t="str">
        <f t="shared" si="8"/>
        <v>Macieira MUTSU</v>
      </c>
      <c r="W44" s="18" t="str">
        <f t="shared" si="1"/>
        <v>INSERT INTO Cultura(CulturaID, Variedade, EspecieVegetalID, EpocaSementeiraPlantacao, EpocaPoda, EpocaFloracao, EpocaColheita) VALUES (43, 'MUTSU', 3, '', 'Novembro a dezembro', 'Março a abril', 'Agosto a setembro');</v>
      </c>
    </row>
    <row r="45" spans="1:23" x14ac:dyDescent="0.25">
      <c r="A45" t="s">
        <v>47</v>
      </c>
      <c r="B45" t="s">
        <v>48</v>
      </c>
      <c r="C45" t="s">
        <v>63</v>
      </c>
      <c r="D45" t="s">
        <v>11</v>
      </c>
      <c r="E45" s="45"/>
      <c r="F45" s="45" t="s">
        <v>64</v>
      </c>
      <c r="G45" s="45" t="s">
        <v>65</v>
      </c>
      <c r="H45" s="45" t="s">
        <v>12</v>
      </c>
      <c r="S45" s="17" cm="1">
        <f t="array" ref="S45">_xlfn.XLOOKUP(A45&amp;B45,$K$2:$K$13&amp;$L$2:$L$13,$J$2:$J$13)</f>
        <v>3</v>
      </c>
      <c r="T45" s="12" t="str">
        <v>PORTA DA LOJA</v>
      </c>
      <c r="U45" s="13">
        <v>44</v>
      </c>
      <c r="V45" t="str">
        <f t="shared" si="8"/>
        <v>Macieira PORTA DA LOJA</v>
      </c>
      <c r="W45" s="18" t="str">
        <f t="shared" si="1"/>
        <v>INSERT INTO Cultura(CulturaID, Variedade, EspecieVegetalID, EpocaSementeiraPlantacao, EpocaPoda, EpocaFloracao, EpocaColheita) VALUES (44, 'PORTA DA LOJA', 3, '', 'Janeiro', 'Abril a maio', 'Novembro a dezembro');</v>
      </c>
    </row>
    <row r="46" spans="1:23" x14ac:dyDescent="0.25">
      <c r="A46" t="s">
        <v>47</v>
      </c>
      <c r="B46" t="s">
        <v>48</v>
      </c>
      <c r="C46" t="s">
        <v>66</v>
      </c>
      <c r="D46" t="s">
        <v>11</v>
      </c>
      <c r="E46" s="45"/>
      <c r="F46" s="45" t="s">
        <v>12</v>
      </c>
      <c r="G46" s="45" t="s">
        <v>50</v>
      </c>
      <c r="H46" s="45" t="s">
        <v>51</v>
      </c>
      <c r="S46" s="17" cm="1">
        <f t="array" ref="S46">_xlfn.XLOOKUP(A46&amp;B46,$K$2:$K$13&amp;$L$2:$L$13,$J$2:$J$13)</f>
        <v>3</v>
      </c>
      <c r="T46" s="12" t="str">
        <v>REINETTE OU CANADA</v>
      </c>
      <c r="U46" s="13">
        <v>45</v>
      </c>
      <c r="V46" t="str">
        <f t="shared" si="8"/>
        <v>Macieira REINETTE OU CANADA</v>
      </c>
      <c r="W46" s="18" t="str">
        <f t="shared" si="1"/>
        <v>INSERT INTO Cultura(CulturaID, Variedade, EspecieVegetalID, EpocaSementeiraPlantacao, EpocaPoda, EpocaFloracao, EpocaColheita) VALUES (45, 'REINETTE OU CANADA', 3, '', 'Novembro a dezembro', 'Março a abril', 'Agosto a setembro');</v>
      </c>
    </row>
    <row r="47" spans="1:23" x14ac:dyDescent="0.25">
      <c r="A47" t="s">
        <v>47</v>
      </c>
      <c r="B47" t="s">
        <v>48</v>
      </c>
      <c r="C47" t="s">
        <v>67</v>
      </c>
      <c r="D47" t="s">
        <v>11</v>
      </c>
      <c r="E47" s="45"/>
      <c r="F47" s="45" t="s">
        <v>12</v>
      </c>
      <c r="G47" s="45" t="s">
        <v>50</v>
      </c>
      <c r="H47" s="45" t="s">
        <v>51</v>
      </c>
      <c r="S47" s="17" cm="1">
        <f t="array" ref="S47">_xlfn.XLOOKUP(A47&amp;B47,$K$2:$K$13&amp;$L$2:$L$13,$J$2:$J$13)</f>
        <v>3</v>
      </c>
      <c r="T47" s="12" t="str">
        <v>REINETTE OU GRAND FAY</v>
      </c>
      <c r="U47" s="13">
        <v>46</v>
      </c>
      <c r="V47" t="str">
        <f t="shared" si="8"/>
        <v>Macieira REINETTE OU GRAND FAY</v>
      </c>
      <c r="W47" s="18" t="str">
        <f t="shared" si="1"/>
        <v>INSERT INTO Cultura(CulturaID, Variedade, EspecieVegetalID, EpocaSementeiraPlantacao, EpocaPoda, EpocaFloracao, EpocaColheita) VALUES (46, 'REINETTE OU GRAND FAY', 3, '', 'Novembro a dezembro', 'Março a abril', 'Agosto a setembro');</v>
      </c>
    </row>
    <row r="48" spans="1:23" x14ac:dyDescent="0.25">
      <c r="A48" t="s">
        <v>47</v>
      </c>
      <c r="B48" t="s">
        <v>48</v>
      </c>
      <c r="C48" t="s">
        <v>68</v>
      </c>
      <c r="D48" t="s">
        <v>11</v>
      </c>
      <c r="E48" s="45"/>
      <c r="F48" s="45" t="s">
        <v>12</v>
      </c>
      <c r="G48" s="45" t="s">
        <v>50</v>
      </c>
      <c r="H48" s="45" t="s">
        <v>51</v>
      </c>
      <c r="S48" s="17" cm="1">
        <f t="array" ref="S48">_xlfn.XLOOKUP(A48&amp;B48,$K$2:$K$13&amp;$L$2:$L$13,$J$2:$J$13)</f>
        <v>3</v>
      </c>
      <c r="T48" s="12" t="str">
        <v>RISCADINHA DE PALMELA</v>
      </c>
      <c r="U48" s="13">
        <v>47</v>
      </c>
      <c r="V48" t="str">
        <f t="shared" si="8"/>
        <v>Macieira RISCADINHA DE PALMELA</v>
      </c>
      <c r="W48" s="18" t="str">
        <f t="shared" si="1"/>
        <v>INSERT INTO Cultura(CulturaID, Variedade, EspecieVegetalID, EpocaSementeiraPlantacao, EpocaPoda, EpocaFloracao, EpocaColheita) VALUES (47, 'RISCADINHA DE PALMELA', 3, '', 'Novembro a dezembro', 'Março a abril', 'Agosto a setembro');</v>
      </c>
    </row>
    <row r="49" spans="1:23" x14ac:dyDescent="0.25">
      <c r="A49" t="s">
        <v>47</v>
      </c>
      <c r="B49" t="s">
        <v>48</v>
      </c>
      <c r="C49" t="s">
        <v>69</v>
      </c>
      <c r="D49" t="s">
        <v>11</v>
      </c>
      <c r="E49" s="45"/>
      <c r="F49" s="45" t="s">
        <v>12</v>
      </c>
      <c r="G49" s="45" t="s">
        <v>50</v>
      </c>
      <c r="H49" s="45" t="s">
        <v>51</v>
      </c>
      <c r="S49" s="17" cm="1">
        <f t="array" ref="S49">_xlfn.XLOOKUP(A49&amp;B49,$K$2:$K$13&amp;$L$2:$L$13,$J$2:$J$13)</f>
        <v>3</v>
      </c>
      <c r="T49" s="12" t="str">
        <v>ROYAL GALA</v>
      </c>
      <c r="U49" s="13">
        <v>48</v>
      </c>
      <c r="V49" t="str">
        <f t="shared" si="8"/>
        <v>Macieira ROYAL GALA</v>
      </c>
      <c r="W49" s="18" t="str">
        <f t="shared" si="1"/>
        <v>INSERT INTO Cultura(CulturaID, Variedade, EspecieVegetalID, EpocaSementeiraPlantacao, EpocaPoda, EpocaFloracao, EpocaColheita) VALUES (48, 'ROYAL GALA', 3, '', 'Novembro a dezembro', 'Março a abril', 'Agosto a setembro');</v>
      </c>
    </row>
    <row r="50" spans="1:23" x14ac:dyDescent="0.25">
      <c r="A50" t="s">
        <v>47</v>
      </c>
      <c r="B50" t="s">
        <v>48</v>
      </c>
      <c r="C50" t="s">
        <v>70</v>
      </c>
      <c r="D50" t="s">
        <v>11</v>
      </c>
      <c r="E50" s="45"/>
      <c r="F50" s="45" t="s">
        <v>12</v>
      </c>
      <c r="G50" s="45" t="s">
        <v>50</v>
      </c>
      <c r="H50" s="45" t="s">
        <v>51</v>
      </c>
      <c r="S50" s="17" cm="1">
        <f t="array" ref="S50">_xlfn.XLOOKUP(A50&amp;B50,$K$2:$K$13&amp;$L$2:$L$13,$J$2:$J$13)</f>
        <v>3</v>
      </c>
      <c r="T50" s="12" t="str">
        <v>REDCHIEF</v>
      </c>
      <c r="U50" s="13">
        <v>49</v>
      </c>
      <c r="V50" t="str">
        <f t="shared" si="8"/>
        <v>Macieira REDCHIEF</v>
      </c>
      <c r="W50" s="18" t="str">
        <f t="shared" si="1"/>
        <v>INSERT INTO Cultura(CulturaID, Variedade, EspecieVegetalID, EpocaSementeiraPlantacao, EpocaPoda, EpocaFloracao, EpocaColheita) VALUES (49, 'REDCHIEF', 3, '', 'Novembro a dezembro', 'Março a abril', 'Agosto a setembro');</v>
      </c>
    </row>
    <row r="51" spans="1:23" x14ac:dyDescent="0.25">
      <c r="A51" t="s">
        <v>47</v>
      </c>
      <c r="B51" t="s">
        <v>48</v>
      </c>
      <c r="C51" t="s">
        <v>71</v>
      </c>
      <c r="D51" t="s">
        <v>11</v>
      </c>
      <c r="E51" s="45"/>
      <c r="F51" s="45" t="s">
        <v>12</v>
      </c>
      <c r="G51" s="45" t="s">
        <v>50</v>
      </c>
      <c r="H51" s="45" t="s">
        <v>51</v>
      </c>
      <c r="S51" s="17" cm="1">
        <f t="array" ref="S51">_xlfn.XLOOKUP(A51&amp;B51,$K$2:$K$13&amp;$L$2:$L$13,$J$2:$J$13)</f>
        <v>3</v>
      </c>
      <c r="T51" s="12" t="str">
        <v>STARKING</v>
      </c>
      <c r="U51" s="13">
        <v>50</v>
      </c>
      <c r="V51" t="str">
        <f t="shared" si="8"/>
        <v>Macieira STARKING</v>
      </c>
      <c r="W51" s="18" t="str">
        <f t="shared" si="1"/>
        <v>INSERT INTO Cultura(CulturaID, Variedade, EspecieVegetalID, EpocaSementeiraPlantacao, EpocaPoda, EpocaFloracao, EpocaColheita) VALUES (50, 'STARKING', 3, '', 'Novembro a dezembro', 'Março a abril', 'Agosto a setembro');</v>
      </c>
    </row>
    <row r="52" spans="1:23" x14ac:dyDescent="0.25">
      <c r="A52" t="s">
        <v>47</v>
      </c>
      <c r="B52" t="s">
        <v>48</v>
      </c>
      <c r="C52" t="s">
        <v>72</v>
      </c>
      <c r="D52" t="s">
        <v>11</v>
      </c>
      <c r="E52" s="45"/>
      <c r="F52" s="45" t="s">
        <v>12</v>
      </c>
      <c r="G52" s="45" t="s">
        <v>50</v>
      </c>
      <c r="H52" s="45" t="s">
        <v>51</v>
      </c>
      <c r="S52" s="17" cm="1">
        <f t="array" ref="S52">_xlfn.XLOOKUP(A52&amp;B52,$K$2:$K$13&amp;$L$2:$L$13,$J$2:$J$13)</f>
        <v>3</v>
      </c>
      <c r="T52" s="12" t="str">
        <v>SUMMER RED</v>
      </c>
      <c r="U52" s="13">
        <v>51</v>
      </c>
      <c r="V52" t="str">
        <f t="shared" si="8"/>
        <v>Macieira SUMMER RED</v>
      </c>
      <c r="W52" s="18" t="str">
        <f t="shared" si="1"/>
        <v>INSERT INTO Cultura(CulturaID, Variedade, EspecieVegetalID, EpocaSementeiraPlantacao, EpocaPoda, EpocaFloracao, EpocaColheita) VALUES (51, 'SUMMER RED', 3, '', 'Novembro a dezembro', 'Março a abril', 'Agosto a setembro');</v>
      </c>
    </row>
    <row r="53" spans="1:23" x14ac:dyDescent="0.25">
      <c r="A53" t="s">
        <v>47</v>
      </c>
      <c r="B53" t="s">
        <v>48</v>
      </c>
      <c r="C53" t="s">
        <v>281</v>
      </c>
      <c r="D53" t="s">
        <v>11</v>
      </c>
      <c r="E53" s="45"/>
      <c r="F53" s="45" t="s">
        <v>12</v>
      </c>
      <c r="G53" s="45" t="s">
        <v>50</v>
      </c>
      <c r="H53" s="45" t="s">
        <v>51</v>
      </c>
      <c r="S53" s="17" cm="1">
        <f t="array" ref="S53">_xlfn.XLOOKUP(A53&amp;B53,$K$2:$K$13&amp;$L$2:$L$13,$J$2:$J$13)</f>
        <v>3</v>
      </c>
      <c r="T53" s="12" t="str">
        <v>WELLSPUR DELICIOUS</v>
      </c>
      <c r="U53" s="13">
        <v>52</v>
      </c>
      <c r="V53" t="str">
        <f t="shared" si="8"/>
        <v>Macieira WELLSPUR DELICIOUS</v>
      </c>
      <c r="W53" s="18" t="str">
        <f t="shared" si="1"/>
        <v>INSERT INTO Cultura(CulturaID, Variedade, EspecieVegetalID, EpocaSementeiraPlantacao, EpocaPoda, EpocaFloracao, EpocaColheita) VALUES (52, 'WELLSPUR DELICIOUS', 3, '', 'Novembro a dezembro', 'Março a abril', 'Agosto a setembro');</v>
      </c>
    </row>
    <row r="54" spans="1:23" x14ac:dyDescent="0.25">
      <c r="A54" t="s">
        <v>47</v>
      </c>
      <c r="B54" t="s">
        <v>48</v>
      </c>
      <c r="C54" t="s">
        <v>73</v>
      </c>
      <c r="D54" t="s">
        <v>11</v>
      </c>
      <c r="E54" s="45"/>
      <c r="F54" s="45" t="s">
        <v>12</v>
      </c>
      <c r="G54" s="45" t="s">
        <v>50</v>
      </c>
      <c r="H54" s="45" t="s">
        <v>51</v>
      </c>
      <c r="S54" s="17" cm="1">
        <f t="array" ref="S54">_xlfn.XLOOKUP(A54&amp;B54,$K$2:$K$13&amp;$L$2:$L$13,$J$2:$J$13)</f>
        <v>3</v>
      </c>
      <c r="T54" s="12" t="str">
        <v>NOIVA</v>
      </c>
      <c r="U54" s="13">
        <v>53</v>
      </c>
      <c r="V54" t="str">
        <f t="shared" si="8"/>
        <v>Macieira NOIVA</v>
      </c>
      <c r="W54" s="18" t="str">
        <f t="shared" si="1"/>
        <v>INSERT INTO Cultura(CulturaID, Variedade, EspecieVegetalID, EpocaSementeiraPlantacao, EpocaPoda, EpocaFloracao, EpocaColheita) VALUES (53, 'NOIVA', 3, '', 'Novembro a dezembro', 'Março a abril', 'Agosto a setembro');</v>
      </c>
    </row>
    <row r="55" spans="1:23" x14ac:dyDescent="0.25">
      <c r="A55" t="s">
        <v>47</v>
      </c>
      <c r="B55" t="s">
        <v>48</v>
      </c>
      <c r="C55" t="s">
        <v>74</v>
      </c>
      <c r="D55" t="s">
        <v>11</v>
      </c>
      <c r="E55" s="45"/>
      <c r="F55" s="45" t="s">
        <v>12</v>
      </c>
      <c r="G55" s="45" t="s">
        <v>50</v>
      </c>
      <c r="H55" s="45" t="s">
        <v>51</v>
      </c>
      <c r="S55" s="17" cm="1">
        <f t="array" ref="S55">_xlfn.XLOOKUP(A55&amp;B55,$K$2:$K$13&amp;$L$2:$L$13,$J$2:$J$13)</f>
        <v>3</v>
      </c>
      <c r="T55" s="12" t="str">
        <v>OLHO ABERTO</v>
      </c>
      <c r="U55" s="13">
        <v>54</v>
      </c>
      <c r="V55" t="str">
        <f t="shared" si="8"/>
        <v>Macieira OLHO ABERTO</v>
      </c>
      <c r="W55" s="18" t="str">
        <f t="shared" si="1"/>
        <v>INSERT INTO Cultura(CulturaID, Variedade, EspecieVegetalID, EpocaSementeiraPlantacao, EpocaPoda, EpocaFloracao, EpocaColheita) VALUES (54, 'OLHO ABERTO', 3, '', 'Novembro a dezembro', 'Março a abril', 'Agosto a setembro');</v>
      </c>
    </row>
    <row r="56" spans="1:23" x14ac:dyDescent="0.25">
      <c r="A56" t="s">
        <v>47</v>
      </c>
      <c r="B56" t="s">
        <v>48</v>
      </c>
      <c r="C56" t="s">
        <v>75</v>
      </c>
      <c r="D56" t="s">
        <v>11</v>
      </c>
      <c r="E56" s="45"/>
      <c r="F56" s="45" t="s">
        <v>12</v>
      </c>
      <c r="G56" s="45" t="s">
        <v>50</v>
      </c>
      <c r="H56" s="45" t="s">
        <v>51</v>
      </c>
      <c r="S56" s="17" cm="1">
        <f t="array" ref="S56">_xlfn.XLOOKUP(A56&amp;B56,$K$2:$K$13&amp;$L$2:$L$13,$J$2:$J$13)</f>
        <v>3</v>
      </c>
      <c r="T56" s="12" t="str">
        <v>CAMOESA ROSA</v>
      </c>
      <c r="U56" s="13">
        <v>55</v>
      </c>
      <c r="V56" t="str">
        <f t="shared" si="8"/>
        <v>Macieira CAMOESA ROSA</v>
      </c>
      <c r="W56" s="18" t="str">
        <f t="shared" si="1"/>
        <v>INSERT INTO Cultura(CulturaID, Variedade, EspecieVegetalID, EpocaSementeiraPlantacao, EpocaPoda, EpocaFloracao, EpocaColheita) VALUES (55, 'CAMOESA ROSA', 3, '', 'Novembro a dezembro', 'Março a abril', 'Agosto a setembro');</v>
      </c>
    </row>
    <row r="57" spans="1:23" x14ac:dyDescent="0.25">
      <c r="A57" t="s">
        <v>47</v>
      </c>
      <c r="B57" t="s">
        <v>48</v>
      </c>
      <c r="C57" t="s">
        <v>76</v>
      </c>
      <c r="D57" t="s">
        <v>11</v>
      </c>
      <c r="E57" s="45"/>
      <c r="F57" s="45" t="s">
        <v>12</v>
      </c>
      <c r="G57" s="45" t="s">
        <v>50</v>
      </c>
      <c r="H57" s="45" t="s">
        <v>51</v>
      </c>
      <c r="S57" s="17" cm="1">
        <f t="array" ref="S57">_xlfn.XLOOKUP(A57&amp;B57,$K$2:$K$13&amp;$L$2:$L$13,$J$2:$J$13)</f>
        <v>3</v>
      </c>
      <c r="T57" s="12" t="str">
        <v>MALÁPIO</v>
      </c>
      <c r="U57" s="13">
        <v>56</v>
      </c>
      <c r="V57" t="str">
        <f t="shared" si="8"/>
        <v>Macieira MALÁPIO</v>
      </c>
      <c r="W57" s="18" t="str">
        <f t="shared" si="1"/>
        <v>INSERT INTO Cultura(CulturaID, Variedade, EspecieVegetalID, EpocaSementeiraPlantacao, EpocaPoda, EpocaFloracao, EpocaColheita) VALUES (56, 'MALÁPIO', 3, '', 'Novembro a dezembro', 'Março a abril', 'Agosto a setembro');</v>
      </c>
    </row>
    <row r="58" spans="1:23" x14ac:dyDescent="0.25">
      <c r="A58" t="s">
        <v>47</v>
      </c>
      <c r="B58" t="s">
        <v>48</v>
      </c>
      <c r="C58" t="s">
        <v>77</v>
      </c>
      <c r="D58" t="s">
        <v>11</v>
      </c>
      <c r="E58" s="45"/>
      <c r="F58" s="45" t="s">
        <v>12</v>
      </c>
      <c r="G58" s="45" t="s">
        <v>50</v>
      </c>
      <c r="H58" s="45" t="s">
        <v>51</v>
      </c>
      <c r="S58" s="17" cm="1">
        <f t="array" ref="S58">_xlfn.XLOOKUP(A58&amp;B58,$K$2:$K$13&amp;$L$2:$L$13,$J$2:$J$13)</f>
        <v>3</v>
      </c>
      <c r="T58" s="12" t="str">
        <v>GRONHO DOCE</v>
      </c>
      <c r="U58" s="13">
        <v>57</v>
      </c>
      <c r="V58" t="str">
        <f t="shared" si="8"/>
        <v>Macieira GRONHO DOCE</v>
      </c>
      <c r="W58" s="18" t="str">
        <f t="shared" si="1"/>
        <v>INSERT INTO Cultura(CulturaID, Variedade, EspecieVegetalID, EpocaSementeiraPlantacao, EpocaPoda, EpocaFloracao, EpocaColheita) VALUES (57, 'GRONHO DOCE', 3, '', 'Novembro a dezembro', 'Março a abril', 'Agosto a setembro');</v>
      </c>
    </row>
    <row r="59" spans="1:23" x14ac:dyDescent="0.25">
      <c r="A59" t="s">
        <v>47</v>
      </c>
      <c r="B59" t="s">
        <v>48</v>
      </c>
      <c r="C59" t="s">
        <v>78</v>
      </c>
      <c r="D59" t="s">
        <v>11</v>
      </c>
      <c r="E59" s="45"/>
      <c r="F59" s="45" t="s">
        <v>12</v>
      </c>
      <c r="G59" s="45" t="s">
        <v>50</v>
      </c>
      <c r="H59" s="45" t="s">
        <v>51</v>
      </c>
      <c r="S59" s="17" cm="1">
        <f t="array" ref="S59">_xlfn.XLOOKUP(A59&amp;B59,$K$2:$K$13&amp;$L$2:$L$13,$J$2:$J$13)</f>
        <v>3</v>
      </c>
      <c r="T59" s="12" t="str">
        <v>PÉ DE BOI </v>
      </c>
      <c r="U59" s="13">
        <v>58</v>
      </c>
      <c r="V59" t="str">
        <f t="shared" si="8"/>
        <v>Macieira PÉ DE BOI </v>
      </c>
      <c r="W59" s="18" t="str">
        <f t="shared" si="1"/>
        <v>INSERT INTO Cultura(CulturaID, Variedade, EspecieVegetalID, EpocaSementeiraPlantacao, EpocaPoda, EpocaFloracao, EpocaColheita) VALUES (58, 'PÉ DE BOI ', 3, '', 'Novembro a dezembro', 'Março a abril', 'Agosto a setembro');</v>
      </c>
    </row>
    <row r="60" spans="1:23" x14ac:dyDescent="0.25">
      <c r="A60" t="s">
        <v>47</v>
      </c>
      <c r="B60" t="s">
        <v>48</v>
      </c>
      <c r="C60" t="s">
        <v>79</v>
      </c>
      <c r="D60" t="s">
        <v>11</v>
      </c>
      <c r="E60" s="45"/>
      <c r="F60" s="45" t="s">
        <v>12</v>
      </c>
      <c r="G60" s="45" t="s">
        <v>50</v>
      </c>
      <c r="H60" s="45" t="s">
        <v>51</v>
      </c>
      <c r="S60" s="17" cm="1">
        <f t="array" ref="S60">_xlfn.XLOOKUP(A60&amp;B60,$K$2:$K$13&amp;$L$2:$L$13,$J$2:$J$13)</f>
        <v>3</v>
      </c>
      <c r="T60" s="12" t="str">
        <v>PINOVA</v>
      </c>
      <c r="U60" s="13">
        <v>59</v>
      </c>
      <c r="V60" t="str">
        <f t="shared" si="8"/>
        <v>Macieira PINOVA</v>
      </c>
      <c r="W60" s="18" t="str">
        <f t="shared" si="1"/>
        <v>INSERT INTO Cultura(CulturaID, Variedade, EspecieVegetalID, EpocaSementeiraPlantacao, EpocaPoda, EpocaFloracao, EpocaColheita) VALUES (59, 'PINOVA', 3, '', 'Novembro a dezembro', 'Março a abril', 'Agosto a setembro');</v>
      </c>
    </row>
    <row r="61" spans="1:23" x14ac:dyDescent="0.25">
      <c r="A61" t="s">
        <v>47</v>
      </c>
      <c r="B61" t="s">
        <v>48</v>
      </c>
      <c r="C61" t="s">
        <v>80</v>
      </c>
      <c r="D61" t="s">
        <v>11</v>
      </c>
      <c r="E61" s="45"/>
      <c r="F61" s="45" t="s">
        <v>12</v>
      </c>
      <c r="G61" s="45" t="s">
        <v>50</v>
      </c>
      <c r="H61" s="45" t="s">
        <v>51</v>
      </c>
      <c r="S61" s="17" cm="1">
        <f t="array" ref="S61">_xlfn.XLOOKUP(A61&amp;B61,$K$2:$K$13&amp;$L$2:$L$13,$J$2:$J$13)</f>
        <v>3</v>
      </c>
      <c r="T61" s="12" t="str">
        <v>PARDO LINDO</v>
      </c>
      <c r="U61" s="13">
        <v>60</v>
      </c>
      <c r="V61" t="str">
        <f t="shared" si="8"/>
        <v>Macieira PARDO LINDO</v>
      </c>
      <c r="W61" s="18" t="str">
        <f t="shared" si="1"/>
        <v>INSERT INTO Cultura(CulturaID, Variedade, EspecieVegetalID, EpocaSementeiraPlantacao, EpocaPoda, EpocaFloracao, EpocaColheita) VALUES (60, 'PARDO LINDO', 3, '', 'Novembro a dezembro', 'Março a abril', 'Agosto a setembro');</v>
      </c>
    </row>
    <row r="62" spans="1:23" x14ac:dyDescent="0.25">
      <c r="A62" t="s">
        <v>47</v>
      </c>
      <c r="B62" t="s">
        <v>48</v>
      </c>
      <c r="C62" t="s">
        <v>81</v>
      </c>
      <c r="D62" t="s">
        <v>11</v>
      </c>
      <c r="E62" s="45"/>
      <c r="F62" s="45" t="s">
        <v>12</v>
      </c>
      <c r="G62" s="45" t="s">
        <v>50</v>
      </c>
      <c r="H62" s="45" t="s">
        <v>51</v>
      </c>
      <c r="S62" s="17" cm="1">
        <f t="array" ref="S62">_xlfn.XLOOKUP(A62&amp;B62,$K$2:$K$13&amp;$L$2:$L$13,$J$2:$J$13)</f>
        <v>3</v>
      </c>
      <c r="T62" s="12" t="str">
        <v>PIPO DE BASTO</v>
      </c>
      <c r="U62" s="13">
        <v>61</v>
      </c>
      <c r="V62" t="str">
        <f t="shared" si="8"/>
        <v>Macieira PIPO DE BASTO</v>
      </c>
      <c r="W62" s="18" t="str">
        <f t="shared" si="1"/>
        <v>INSERT INTO Cultura(CulturaID, Variedade, EspecieVegetalID, EpocaSementeiraPlantacao, EpocaPoda, EpocaFloracao, EpocaColheita) VALUES (61, 'PIPO DE BASTO', 3, '', 'Novembro a dezembro', 'Março a abril', 'Agosto a setembro');</v>
      </c>
    </row>
    <row r="63" spans="1:23" x14ac:dyDescent="0.25">
      <c r="A63" t="s">
        <v>47</v>
      </c>
      <c r="B63" t="s">
        <v>48</v>
      </c>
      <c r="C63" t="s">
        <v>82</v>
      </c>
      <c r="D63" t="s">
        <v>11</v>
      </c>
      <c r="E63" s="45"/>
      <c r="F63" s="45" t="s">
        <v>12</v>
      </c>
      <c r="G63" s="45" t="s">
        <v>50</v>
      </c>
      <c r="H63" s="45" t="s">
        <v>51</v>
      </c>
      <c r="S63" s="17" cm="1">
        <f t="array" ref="S63">_xlfn.XLOOKUP(A63&amp;B63,$K$2:$K$13&amp;$L$2:$L$13,$J$2:$J$13)</f>
        <v>3</v>
      </c>
      <c r="T63" s="12" t="str">
        <v>PRIMA</v>
      </c>
      <c r="U63" s="13">
        <v>62</v>
      </c>
      <c r="V63" t="str">
        <f t="shared" si="8"/>
        <v>Macieira PRIMA</v>
      </c>
      <c r="W63" s="18" t="str">
        <f t="shared" si="1"/>
        <v>INSERT INTO Cultura(CulturaID, Variedade, EspecieVegetalID, EpocaSementeiraPlantacao, EpocaPoda, EpocaFloracao, EpocaColheita) VALUES (62, 'PRIMA', 3, '', 'Novembro a dezembro', 'Março a abril', 'Agosto a setembro');</v>
      </c>
    </row>
    <row r="64" spans="1:23" x14ac:dyDescent="0.25">
      <c r="A64" t="s">
        <v>47</v>
      </c>
      <c r="B64" t="s">
        <v>48</v>
      </c>
      <c r="C64" t="s">
        <v>83</v>
      </c>
      <c r="D64" t="s">
        <v>11</v>
      </c>
      <c r="E64" s="45"/>
      <c r="F64" s="45" t="s">
        <v>12</v>
      </c>
      <c r="G64" s="45" t="s">
        <v>50</v>
      </c>
      <c r="H64" s="45" t="s">
        <v>51</v>
      </c>
      <c r="S64" s="17" cm="1">
        <f t="array" ref="S64">_xlfn.XLOOKUP(A64&amp;B64,$K$2:$K$13&amp;$L$2:$L$13,$J$2:$J$13)</f>
        <v>3</v>
      </c>
      <c r="T64" s="12" t="str">
        <v>QUERINA</v>
      </c>
      <c r="U64" s="13">
        <v>63</v>
      </c>
      <c r="V64" t="str">
        <f t="shared" si="8"/>
        <v>Macieira QUERINA</v>
      </c>
      <c r="W64" s="18" t="str">
        <f t="shared" si="1"/>
        <v>INSERT INTO Cultura(CulturaID, Variedade, EspecieVegetalID, EpocaSementeiraPlantacao, EpocaPoda, EpocaFloracao, EpocaColheita) VALUES (63, 'QUERINA', 3, '', 'Novembro a dezembro', 'Março a abril', 'Agosto a setembro');</v>
      </c>
    </row>
    <row r="65" spans="1:23" x14ac:dyDescent="0.25">
      <c r="A65" t="s">
        <v>47</v>
      </c>
      <c r="B65" t="s">
        <v>48</v>
      </c>
      <c r="C65" t="s">
        <v>84</v>
      </c>
      <c r="D65" t="s">
        <v>11</v>
      </c>
      <c r="E65" s="45"/>
      <c r="F65" s="45" t="s">
        <v>12</v>
      </c>
      <c r="G65" s="45" t="s">
        <v>50</v>
      </c>
      <c r="H65" s="45" t="s">
        <v>51</v>
      </c>
      <c r="S65" s="17" cm="1">
        <f t="array" ref="S65">_xlfn.XLOOKUP(A65&amp;B65,$K$2:$K$13&amp;$L$2:$L$13,$J$2:$J$13)</f>
        <v>3</v>
      </c>
      <c r="T65" s="12" t="str">
        <v>VISTA BELLA</v>
      </c>
      <c r="U65" s="13">
        <v>64</v>
      </c>
      <c r="V65" t="str">
        <f t="shared" si="8"/>
        <v>Macieira VISTA BELLA</v>
      </c>
      <c r="W65" s="18" t="str">
        <f t="shared" si="1"/>
        <v>INSERT INTO Cultura(CulturaID, Variedade, EspecieVegetalID, EpocaSementeiraPlantacao, EpocaPoda, EpocaFloracao, EpocaColheita) VALUES (64, 'VISTA BELLA', 3, '', 'Novembro a dezembro', 'Março a abril', 'Agosto a setembro');</v>
      </c>
    </row>
    <row r="66" spans="1:23" x14ac:dyDescent="0.25">
      <c r="A66" t="s">
        <v>47</v>
      </c>
      <c r="B66" t="s">
        <v>48</v>
      </c>
      <c r="C66" t="s">
        <v>85</v>
      </c>
      <c r="D66" t="s">
        <v>11</v>
      </c>
      <c r="E66" s="45"/>
      <c r="F66" s="45" t="s">
        <v>12</v>
      </c>
      <c r="G66" s="45" t="s">
        <v>50</v>
      </c>
      <c r="H66" s="45" t="s">
        <v>51</v>
      </c>
      <c r="S66" s="17" cm="1">
        <f t="array" ref="S66">_xlfn.XLOOKUP(A66&amp;B66,$K$2:$K$13&amp;$L$2:$L$13,$J$2:$J$13)</f>
        <v>3</v>
      </c>
      <c r="T66" s="12" t="str">
        <v>GOLDEN SMOOTHEE</v>
      </c>
      <c r="U66" s="13">
        <v>65</v>
      </c>
      <c r="V66" t="str">
        <f t="shared" ref="V66:V96" si="9">_xlfn.CONCAT(B66," ",C66)</f>
        <v>Macieira GOLDEN SMOOTHEE</v>
      </c>
      <c r="W66" s="18" t="str">
        <f t="shared" si="1"/>
        <v>INSERT INTO Cultura(CulturaID, Variedade, EspecieVegetalID, EpocaSementeiraPlantacao, EpocaPoda, EpocaFloracao, EpocaColheita) VALUES (65, 'GOLDEN SMOOTHEE', 3, '', 'Novembro a dezembro', 'Março a abril', 'Agosto a setembro');</v>
      </c>
    </row>
    <row r="67" spans="1:23" x14ac:dyDescent="0.25">
      <c r="A67" t="s">
        <v>47</v>
      </c>
      <c r="B67" t="s">
        <v>48</v>
      </c>
      <c r="C67" t="s">
        <v>86</v>
      </c>
      <c r="D67" t="s">
        <v>11</v>
      </c>
      <c r="E67" s="45"/>
      <c r="F67" s="45" t="s">
        <v>12</v>
      </c>
      <c r="G67" s="45" t="s">
        <v>50</v>
      </c>
      <c r="H67" s="45" t="s">
        <v>51</v>
      </c>
      <c r="S67" s="17" cm="1">
        <f t="array" ref="S67">_xlfn.XLOOKUP(A67&amp;B67,$K$2:$K$13&amp;$L$2:$L$13,$J$2:$J$13)</f>
        <v>3</v>
      </c>
      <c r="T67" s="12" t="str">
        <v>GOLDEN SUPREMA</v>
      </c>
      <c r="U67" s="13">
        <v>66</v>
      </c>
      <c r="V67" t="str">
        <f t="shared" si="9"/>
        <v>Macieira GOLDEN SUPREMA</v>
      </c>
      <c r="W67" s="18" t="str">
        <f t="shared" ref="W67:W96" si="10">"INSERT INTO Cultura(CulturaID, Variedade, EspecieVegetalID, EpocaSementeiraPlantacao, EpocaPoda, EpocaFloracao, EpocaColheita) VALUES ("&amp;U67&amp;", '"&amp;T67&amp;"', "&amp;S67&amp;", '"&amp;E67&amp;"', '"&amp;F67&amp;"', '"&amp;G67&amp;"', '"&amp;H67&amp;"');"</f>
        <v>INSERT INTO Cultura(CulturaID, Variedade, EspecieVegetalID, EpocaSementeiraPlantacao, EpocaPoda, EpocaFloracao, EpocaColheita) VALUES (66, 'GOLDEN SUPREMA', 3, '', 'Novembro a dezembro', 'Março a abril', 'Agosto a setembro');</v>
      </c>
    </row>
    <row r="68" spans="1:23" x14ac:dyDescent="0.25">
      <c r="A68" t="s">
        <v>47</v>
      </c>
      <c r="B68" t="s">
        <v>48</v>
      </c>
      <c r="C68" t="s">
        <v>87</v>
      </c>
      <c r="D68" t="s">
        <v>11</v>
      </c>
      <c r="E68" s="45"/>
      <c r="F68" s="45" t="s">
        <v>12</v>
      </c>
      <c r="G68" s="45" t="s">
        <v>50</v>
      </c>
      <c r="H68" s="45" t="s">
        <v>51</v>
      </c>
      <c r="S68" s="17" cm="1">
        <f t="array" ref="S68">_xlfn.XLOOKUP(A68&amp;B68,$K$2:$K$13&amp;$L$2:$L$13,$J$2:$J$13)</f>
        <v>3</v>
      </c>
      <c r="T68" s="12" t="str">
        <v>GLOSTER 69</v>
      </c>
      <c r="U68" s="13">
        <v>67</v>
      </c>
      <c r="V68" t="str">
        <f t="shared" si="9"/>
        <v>Macieira GLOSTER 69</v>
      </c>
      <c r="W68" s="18" t="str">
        <f t="shared" si="10"/>
        <v>INSERT INTO Cultura(CulturaID, Variedade, EspecieVegetalID, EpocaSementeiraPlantacao, EpocaPoda, EpocaFloracao, EpocaColheita) VALUES (67, 'GLOSTER 69', 3, '', 'Novembro a dezembro', 'Março a abril', 'Agosto a setembro');</v>
      </c>
    </row>
    <row r="69" spans="1:23" x14ac:dyDescent="0.25">
      <c r="A69" t="s">
        <v>47</v>
      </c>
      <c r="B69" t="s">
        <v>48</v>
      </c>
      <c r="C69" t="s">
        <v>88</v>
      </c>
      <c r="D69" t="s">
        <v>11</v>
      </c>
      <c r="E69" s="45"/>
      <c r="F69" s="45" t="s">
        <v>12</v>
      </c>
      <c r="G69" s="45" t="s">
        <v>50</v>
      </c>
      <c r="H69" s="45" t="s">
        <v>51</v>
      </c>
      <c r="S69" s="17" cm="1">
        <f t="array" ref="S69">_xlfn.XLOOKUP(A69&amp;B69,$K$2:$K$13&amp;$L$2:$L$13,$J$2:$J$13)</f>
        <v>3</v>
      </c>
      <c r="T69" s="12" t="str">
        <v>FREEDOM</v>
      </c>
      <c r="U69" s="13">
        <v>68</v>
      </c>
      <c r="V69" t="str">
        <f t="shared" si="9"/>
        <v>Macieira FREEDOM</v>
      </c>
      <c r="W69" s="18" t="str">
        <f t="shared" si="10"/>
        <v>INSERT INTO Cultura(CulturaID, Variedade, EspecieVegetalID, EpocaSementeiraPlantacao, EpocaPoda, EpocaFloracao, EpocaColheita) VALUES (68, 'FREEDOM', 3, '', 'Novembro a dezembro', 'Março a abril', 'Agosto a setembro');</v>
      </c>
    </row>
    <row r="70" spans="1:23" x14ac:dyDescent="0.25">
      <c r="A70" t="s">
        <v>89</v>
      </c>
      <c r="B70" t="s">
        <v>90</v>
      </c>
      <c r="C70" t="s">
        <v>91</v>
      </c>
      <c r="D70" t="s">
        <v>11</v>
      </c>
      <c r="E70" s="45"/>
      <c r="F70" s="45"/>
      <c r="G70" s="45"/>
      <c r="H70" s="45"/>
      <c r="S70" s="17" cm="1">
        <f t="array" ref="S70">_xlfn.XLOOKUP(A70&amp;B70,$K$2:$K$13&amp;$L$2:$L$13,$J$2:$J$13)</f>
        <v>4</v>
      </c>
      <c r="T70" s="12" t="str">
        <v>SNINSEIKI</v>
      </c>
      <c r="U70" s="13">
        <v>69</v>
      </c>
      <c r="V70" t="str">
        <f t="shared" si="9"/>
        <v>Pera Nashi SNINSEIKI</v>
      </c>
      <c r="W70" s="18" t="str">
        <f t="shared" si="10"/>
        <v>INSERT INTO Cultura(CulturaID, Variedade, EspecieVegetalID, EpocaSementeiraPlantacao, EpocaPoda, EpocaFloracao, EpocaColheita) VALUES (69, 'SNINSEIKI', 4, '', '', '', '');</v>
      </c>
    </row>
    <row r="71" spans="1:23" x14ac:dyDescent="0.25">
      <c r="A71" t="s">
        <v>89</v>
      </c>
      <c r="B71" t="s">
        <v>90</v>
      </c>
      <c r="C71" t="s">
        <v>92</v>
      </c>
      <c r="D71" t="s">
        <v>11</v>
      </c>
      <c r="E71" s="45"/>
      <c r="F71" s="45"/>
      <c r="G71" s="45"/>
      <c r="H71" s="45"/>
      <c r="S71" s="17" cm="1">
        <f t="array" ref="S71">_xlfn.XLOOKUP(A71&amp;B71,$K$2:$K$13&amp;$L$2:$L$13,$J$2:$J$13)</f>
        <v>4</v>
      </c>
      <c r="T71" s="12" t="str">
        <v>KUMOI</v>
      </c>
      <c r="U71" s="13">
        <v>70</v>
      </c>
      <c r="V71" t="str">
        <f t="shared" si="9"/>
        <v>Pera Nashi KUMOI</v>
      </c>
      <c r="W71" s="18" t="str">
        <f t="shared" si="10"/>
        <v>INSERT INTO Cultura(CulturaID, Variedade, EspecieVegetalID, EpocaSementeiraPlantacao, EpocaPoda, EpocaFloracao, EpocaColheita) VALUES (70, 'KUMOI', 4, '', '', '', '');</v>
      </c>
    </row>
    <row r="72" spans="1:23" x14ac:dyDescent="0.25">
      <c r="A72" t="s">
        <v>89</v>
      </c>
      <c r="B72" t="s">
        <v>90</v>
      </c>
      <c r="C72" t="s">
        <v>93</v>
      </c>
      <c r="D72" t="s">
        <v>11</v>
      </c>
      <c r="E72" s="45"/>
      <c r="F72" s="45"/>
      <c r="G72" s="45"/>
      <c r="H72" s="45"/>
      <c r="S72" s="17" cm="1">
        <f t="array" ref="S72">_xlfn.XLOOKUP(A72&amp;B72,$K$2:$K$13&amp;$L$2:$L$13,$J$2:$J$13)</f>
        <v>4</v>
      </c>
      <c r="T72" s="12" t="str">
        <v>HOSUI</v>
      </c>
      <c r="U72" s="13">
        <v>71</v>
      </c>
      <c r="V72" t="str">
        <f t="shared" si="9"/>
        <v>Pera Nashi HOSUI</v>
      </c>
      <c r="W72" s="18" t="str">
        <f t="shared" si="10"/>
        <v>INSERT INTO Cultura(CulturaID, Variedade, EspecieVegetalID, EpocaSementeiraPlantacao, EpocaPoda, EpocaFloracao, EpocaColheita) VALUES (71, 'HOSUI', 4, '', '', '', '');</v>
      </c>
    </row>
    <row r="73" spans="1:23" x14ac:dyDescent="0.25">
      <c r="A73" t="s">
        <v>89</v>
      </c>
      <c r="B73" t="s">
        <v>90</v>
      </c>
      <c r="C73" t="s">
        <v>94</v>
      </c>
      <c r="D73" t="s">
        <v>11</v>
      </c>
      <c r="E73" s="45"/>
      <c r="F73" s="45"/>
      <c r="G73" s="45"/>
      <c r="H73" s="45"/>
      <c r="S73" s="17" cm="1">
        <f t="array" ref="S73">_xlfn.XLOOKUP(A73&amp;B73,$K$2:$K$13&amp;$L$2:$L$13,$J$2:$J$13)</f>
        <v>4</v>
      </c>
      <c r="T73" s="12" t="str">
        <v>NIJISSEIKI</v>
      </c>
      <c r="U73" s="13">
        <v>72</v>
      </c>
      <c r="V73" t="str">
        <f t="shared" si="9"/>
        <v>Pera Nashi NIJISSEIKI</v>
      </c>
      <c r="W73" s="18" t="str">
        <f t="shared" si="10"/>
        <v>INSERT INTO Cultura(CulturaID, Variedade, EspecieVegetalID, EpocaSementeiraPlantacao, EpocaPoda, EpocaFloracao, EpocaColheita) VALUES (72, 'NIJISSEIKI', 4, '', '', '', '');</v>
      </c>
    </row>
    <row r="74" spans="1:23" x14ac:dyDescent="0.25">
      <c r="A74" t="s">
        <v>95</v>
      </c>
      <c r="B74" t="s">
        <v>96</v>
      </c>
      <c r="C74" t="s">
        <v>97</v>
      </c>
      <c r="D74" t="s">
        <v>98</v>
      </c>
      <c r="E74" s="45"/>
      <c r="F74" s="45"/>
      <c r="G74" s="45"/>
      <c r="H74" s="45" t="s">
        <v>99</v>
      </c>
      <c r="S74" s="17" cm="1">
        <f t="array" ref="S74">_xlfn.XLOOKUP(A74&amp;B74,$K$2:$K$13&amp;$L$2:$L$13,$J$2:$J$13)</f>
        <v>5</v>
      </c>
      <c r="T74" s="12" t="str">
        <v>Carson Hybrid</v>
      </c>
      <c r="U74" s="13">
        <v>73</v>
      </c>
      <c r="V74" t="str">
        <f t="shared" si="9"/>
        <v>Cenoura Carson Hybrid</v>
      </c>
      <c r="W74" s="18" t="str">
        <f t="shared" si="10"/>
        <v>INSERT INTO Cultura(CulturaID, Variedade, EspecieVegetalID, EpocaSementeiraPlantacao, EpocaPoda, EpocaFloracao, EpocaColheita) VALUES (73, 'Carson Hybrid', 5, '', '', '', '80 dias');</v>
      </c>
    </row>
    <row r="75" spans="1:23" x14ac:dyDescent="0.25">
      <c r="A75" t="s">
        <v>95</v>
      </c>
      <c r="B75" t="s">
        <v>96</v>
      </c>
      <c r="C75" t="s">
        <v>100</v>
      </c>
      <c r="D75" t="s">
        <v>98</v>
      </c>
      <c r="E75" s="45"/>
      <c r="F75" s="45"/>
      <c r="G75" s="45"/>
      <c r="H75" s="45" t="s">
        <v>99</v>
      </c>
      <c r="S75" s="17" cm="1">
        <f t="array" ref="S75">_xlfn.XLOOKUP(A75&amp;B75,$K$2:$K$13&amp;$L$2:$L$13,$J$2:$J$13)</f>
        <v>5</v>
      </c>
      <c r="T75" s="12" t="str">
        <v>Red Cored Chantenay</v>
      </c>
      <c r="U75" s="13">
        <v>74</v>
      </c>
      <c r="V75" t="str">
        <f t="shared" si="9"/>
        <v>Cenoura Red Cored Chantenay</v>
      </c>
      <c r="W75" s="18" t="str">
        <f t="shared" si="10"/>
        <v>INSERT INTO Cultura(CulturaID, Variedade, EspecieVegetalID, EpocaSementeiraPlantacao, EpocaPoda, EpocaFloracao, EpocaColheita) VALUES (74, 'Red Cored Chantenay', 5, '', '', '', '80 dias');</v>
      </c>
    </row>
    <row r="76" spans="1:23" x14ac:dyDescent="0.25">
      <c r="A76" t="s">
        <v>95</v>
      </c>
      <c r="B76" t="s">
        <v>96</v>
      </c>
      <c r="C76" t="s">
        <v>101</v>
      </c>
      <c r="D76" t="s">
        <v>98</v>
      </c>
      <c r="E76" s="45"/>
      <c r="F76" s="45"/>
      <c r="G76" s="45"/>
      <c r="H76" s="45" t="s">
        <v>99</v>
      </c>
      <c r="S76" s="17" cm="1">
        <f t="array" ref="S76">_xlfn.XLOOKUP(A76&amp;B76,$K$2:$K$13&amp;$L$2:$L$13,$J$2:$J$13)</f>
        <v>5</v>
      </c>
      <c r="T76" s="12" t="str">
        <v>Danvers Half Long</v>
      </c>
      <c r="U76" s="13">
        <v>75</v>
      </c>
      <c r="V76" t="str">
        <f t="shared" si="9"/>
        <v>Cenoura Danvers Half Long</v>
      </c>
      <c r="W76" s="18" t="str">
        <f t="shared" si="10"/>
        <v>INSERT INTO Cultura(CulturaID, Variedade, EspecieVegetalID, EpocaSementeiraPlantacao, EpocaPoda, EpocaFloracao, EpocaColheita) VALUES (75, 'Danvers Half Long', 5, '', '', '', '80 dias');</v>
      </c>
    </row>
    <row r="77" spans="1:23" x14ac:dyDescent="0.25">
      <c r="A77" t="s">
        <v>95</v>
      </c>
      <c r="B77" t="s">
        <v>96</v>
      </c>
      <c r="C77" t="s">
        <v>102</v>
      </c>
      <c r="D77" t="s">
        <v>98</v>
      </c>
      <c r="E77" s="45"/>
      <c r="F77" s="45"/>
      <c r="G77" s="45"/>
      <c r="H77" s="45" t="s">
        <v>99</v>
      </c>
      <c r="S77" s="17" cm="1">
        <f t="array" ref="S77">_xlfn.XLOOKUP(A77&amp;B77,$K$2:$K$13&amp;$L$2:$L$13,$J$2:$J$13)</f>
        <v>5</v>
      </c>
      <c r="T77" s="12" t="str">
        <v>Imperator 58</v>
      </c>
      <c r="U77" s="13">
        <v>76</v>
      </c>
      <c r="V77" t="str">
        <f t="shared" si="9"/>
        <v>Cenoura Imperator 58</v>
      </c>
      <c r="W77" s="18" t="str">
        <f t="shared" si="10"/>
        <v>INSERT INTO Cultura(CulturaID, Variedade, EspecieVegetalID, EpocaSementeiraPlantacao, EpocaPoda, EpocaFloracao, EpocaColheita) VALUES (76, 'Imperator 58', 5, '', '', '', '80 dias');</v>
      </c>
    </row>
    <row r="78" spans="1:23" x14ac:dyDescent="0.25">
      <c r="A78" t="s">
        <v>95</v>
      </c>
      <c r="B78" t="s">
        <v>96</v>
      </c>
      <c r="C78" t="s">
        <v>103</v>
      </c>
      <c r="D78" t="s">
        <v>98</v>
      </c>
      <c r="E78" s="45"/>
      <c r="F78" s="45"/>
      <c r="G78" s="45"/>
      <c r="H78" s="45" t="s">
        <v>99</v>
      </c>
      <c r="S78" s="17" cm="1">
        <f t="array" ref="S78">_xlfn.XLOOKUP(A78&amp;B78,$K$2:$K$13&amp;$L$2:$L$13,$J$2:$J$13)</f>
        <v>5</v>
      </c>
      <c r="T78" s="12" t="str">
        <v>Sugarsnax Hybrid</v>
      </c>
      <c r="U78" s="13">
        <v>77</v>
      </c>
      <c r="V78" t="str">
        <f t="shared" si="9"/>
        <v>Cenoura Sugarsnax Hybrid</v>
      </c>
      <c r="W78" s="18" t="str">
        <f t="shared" si="10"/>
        <v>INSERT INTO Cultura(CulturaID, Variedade, EspecieVegetalID, EpocaSementeiraPlantacao, EpocaPoda, EpocaFloracao, EpocaColheita) VALUES (77, 'Sugarsnax Hybrid', 5, '', '', '', '80 dias');</v>
      </c>
    </row>
    <row r="79" spans="1:23" x14ac:dyDescent="0.25">
      <c r="A79" t="s">
        <v>95</v>
      </c>
      <c r="B79" t="s">
        <v>96</v>
      </c>
      <c r="C79" t="s">
        <v>104</v>
      </c>
      <c r="D79" t="s">
        <v>98</v>
      </c>
      <c r="E79" s="45"/>
      <c r="F79" s="45"/>
      <c r="G79" s="45"/>
      <c r="H79" s="45" t="s">
        <v>99</v>
      </c>
      <c r="S79" s="17" cm="1">
        <f t="array" ref="S79">_xlfn.XLOOKUP(A79&amp;B79,$K$2:$K$13&amp;$L$2:$L$13,$J$2:$J$13)</f>
        <v>5</v>
      </c>
      <c r="T79" s="12" t="str">
        <v>Nelson Hybrid</v>
      </c>
      <c r="U79" s="13">
        <v>78</v>
      </c>
      <c r="V79" t="str">
        <f t="shared" si="9"/>
        <v>Cenoura Nelson Hybrid</v>
      </c>
      <c r="W79" s="18" t="str">
        <f t="shared" si="10"/>
        <v>INSERT INTO Cultura(CulturaID, Variedade, EspecieVegetalID, EpocaSementeiraPlantacao, EpocaPoda, EpocaFloracao, EpocaColheita) VALUES (78, 'Nelson Hybrid', 5, '', '', '', '80 dias');</v>
      </c>
    </row>
    <row r="80" spans="1:23" x14ac:dyDescent="0.25">
      <c r="A80" t="s">
        <v>95</v>
      </c>
      <c r="B80" t="s">
        <v>96</v>
      </c>
      <c r="C80" t="s">
        <v>105</v>
      </c>
      <c r="D80" t="s">
        <v>98</v>
      </c>
      <c r="E80" s="45"/>
      <c r="F80" s="45"/>
      <c r="G80" s="45"/>
      <c r="H80" s="45" t="s">
        <v>99</v>
      </c>
      <c r="S80" s="17" cm="1">
        <f t="array" ref="S80">_xlfn.XLOOKUP(A80&amp;B80,$K$2:$K$13&amp;$L$2:$L$13,$J$2:$J$13)</f>
        <v>5</v>
      </c>
      <c r="T80" s="12" t="str">
        <v>Scarlet Nantes</v>
      </c>
      <c r="U80" s="13">
        <v>79</v>
      </c>
      <c r="V80" t="str">
        <f t="shared" si="9"/>
        <v>Cenoura Scarlet Nantes</v>
      </c>
      <c r="W80" s="18" t="str">
        <f t="shared" si="10"/>
        <v>INSERT INTO Cultura(CulturaID, Variedade, EspecieVegetalID, EpocaSementeiraPlantacao, EpocaPoda, EpocaFloracao, EpocaColheita) VALUES (79, 'Scarlet Nantes', 5, '', '', '', '80 dias');</v>
      </c>
    </row>
    <row r="81" spans="1:23" x14ac:dyDescent="0.25">
      <c r="A81" t="s">
        <v>106</v>
      </c>
      <c r="B81" t="s">
        <v>107</v>
      </c>
      <c r="C81" t="s">
        <v>108</v>
      </c>
      <c r="D81" t="s">
        <v>98</v>
      </c>
      <c r="E81" s="45"/>
      <c r="F81" s="45"/>
      <c r="G81" s="45"/>
      <c r="H81" s="45"/>
      <c r="S81" s="17" cm="1">
        <f t="array" ref="S81">_xlfn.XLOOKUP(A81&amp;B81,$K$2:$K$13&amp;$L$2:$L$13,$J$2:$J$13)</f>
        <v>6</v>
      </c>
      <c r="T81" s="12" t="str">
        <v>Amarelo</v>
      </c>
      <c r="U81" s="13">
        <v>80</v>
      </c>
      <c r="V81" t="str">
        <f t="shared" si="9"/>
        <v>Tremoço Amarelo</v>
      </c>
      <c r="W81" s="18" t="str">
        <f t="shared" si="10"/>
        <v>INSERT INTO Cultura(CulturaID, Variedade, EspecieVegetalID, EpocaSementeiraPlantacao, EpocaPoda, EpocaFloracao, EpocaColheita) VALUES (80, 'Amarelo', 6, '', '', '', '');</v>
      </c>
    </row>
    <row r="82" spans="1:23" x14ac:dyDescent="0.25">
      <c r="A82" t="s">
        <v>109</v>
      </c>
      <c r="B82" t="s">
        <v>107</v>
      </c>
      <c r="C82" t="s">
        <v>110</v>
      </c>
      <c r="D82" t="s">
        <v>98</v>
      </c>
      <c r="E82" s="45"/>
      <c r="F82" s="45"/>
      <c r="G82" s="45"/>
      <c r="H82" s="45"/>
      <c r="S82" s="17" cm="1">
        <f t="array" ref="S82">_xlfn.XLOOKUP(A82&amp;B82,$K$2:$K$13&amp;$L$2:$L$13,$J$2:$J$13)</f>
        <v>7</v>
      </c>
      <c r="T82" s="12" t="str">
        <v>Branco</v>
      </c>
      <c r="U82" s="13">
        <v>81</v>
      </c>
      <c r="V82" t="str">
        <f t="shared" si="9"/>
        <v>Tremoço Branco</v>
      </c>
      <c r="W82" s="18" t="str">
        <f t="shared" si="10"/>
        <v>INSERT INTO Cultura(CulturaID, Variedade, EspecieVegetalID, EpocaSementeiraPlantacao, EpocaPoda, EpocaFloracao, EpocaColheita) VALUES (81, 'Branco', 7, '', '', '', '');</v>
      </c>
    </row>
    <row r="83" spans="1:23" x14ac:dyDescent="0.25">
      <c r="A83" t="s">
        <v>111</v>
      </c>
      <c r="B83" t="s">
        <v>112</v>
      </c>
      <c r="C83" t="s">
        <v>113</v>
      </c>
      <c r="D83" t="s">
        <v>98</v>
      </c>
      <c r="E83" s="45" t="s">
        <v>114</v>
      </c>
      <c r="F83" s="45"/>
      <c r="G83" s="45"/>
      <c r="H83" s="45" t="s">
        <v>115</v>
      </c>
      <c r="S83" s="17" cm="1">
        <f t="array" ref="S83">_xlfn.XLOOKUP(A83&amp;B83,$K$2:$K$13&amp;$L$2:$L$13,$J$2:$J$13)</f>
        <v>8</v>
      </c>
      <c r="T83" s="12" t="str">
        <v>MAS 24.C</v>
      </c>
      <c r="U83" s="13">
        <v>82</v>
      </c>
      <c r="V83" t="str">
        <f t="shared" si="9"/>
        <v>Milho MAS 24.C</v>
      </c>
      <c r="W83" s="18" t="str">
        <f t="shared" si="10"/>
        <v>INSERT INTO Cultura(CulturaID, Variedade, EspecieVegetalID, EpocaSementeiraPlantacao, EpocaPoda, EpocaFloracao, EpocaColheita) VALUES (82, 'MAS 24.C', 8, 'Abril a junho', '', '', 'Julho a setembro');</v>
      </c>
    </row>
    <row r="84" spans="1:23" x14ac:dyDescent="0.25">
      <c r="A84" t="s">
        <v>111</v>
      </c>
      <c r="B84" t="s">
        <v>112</v>
      </c>
      <c r="C84" t="s">
        <v>116</v>
      </c>
      <c r="D84" t="s">
        <v>98</v>
      </c>
      <c r="E84" s="45" t="s">
        <v>114</v>
      </c>
      <c r="F84" s="45"/>
      <c r="G84" s="45"/>
      <c r="H84" s="45" t="s">
        <v>115</v>
      </c>
      <c r="S84" s="17" cm="1">
        <f t="array" ref="S84">_xlfn.XLOOKUP(A84&amp;B84,$K$2:$K$13&amp;$L$2:$L$13,$J$2:$J$13)</f>
        <v>8</v>
      </c>
      <c r="T84" s="12" t="str">
        <v>Doce Golden Bantam</v>
      </c>
      <c r="U84" s="13">
        <v>83</v>
      </c>
      <c r="V84" t="str">
        <f t="shared" si="9"/>
        <v>Milho Doce Golden Bantam</v>
      </c>
      <c r="W84" s="18" t="str">
        <f t="shared" si="10"/>
        <v>INSERT INTO Cultura(CulturaID, Variedade, EspecieVegetalID, EpocaSementeiraPlantacao, EpocaPoda, EpocaFloracao, EpocaColheita) VALUES (83, 'Doce Golden Bantam', 8, 'Abril a junho', '', '', 'Julho a setembro');</v>
      </c>
    </row>
    <row r="85" spans="1:23" x14ac:dyDescent="0.25">
      <c r="A85" t="s">
        <v>117</v>
      </c>
      <c r="B85" t="s">
        <v>118</v>
      </c>
      <c r="C85" t="s">
        <v>119</v>
      </c>
      <c r="D85" t="s">
        <v>98</v>
      </c>
      <c r="E85" s="45" t="s">
        <v>120</v>
      </c>
      <c r="F85" s="45"/>
      <c r="G85" s="45"/>
      <c r="H85" s="45" t="s">
        <v>121</v>
      </c>
      <c r="S85" s="17" cm="1">
        <f t="array" ref="S85">_xlfn.XLOOKUP(A85&amp;B85,$K$2:$K$13&amp;$L$2:$L$13,$J$2:$J$13)</f>
        <v>9</v>
      </c>
      <c r="T85" s="12" t="str">
        <v>Senhora Conceição</v>
      </c>
      <c r="U85" s="13">
        <v>84</v>
      </c>
      <c r="V85" t="str">
        <f t="shared" si="9"/>
        <v>Nabo greleiro Senhora Conceição</v>
      </c>
      <c r="W85" s="18" t="str">
        <f t="shared" si="10"/>
        <v>INSERT INTO Cultura(CulturaID, Variedade, EspecieVegetalID, EpocaSementeiraPlantacao, EpocaPoda, EpocaFloracao, EpocaColheita) VALUES (84, 'Senhora Conceição', 9, 'Março a setembro', '', '', 'Junho a fevereiro');</v>
      </c>
    </row>
    <row r="86" spans="1:23" x14ac:dyDescent="0.25">
      <c r="A86" t="s">
        <v>122</v>
      </c>
      <c r="B86" t="s">
        <v>123</v>
      </c>
      <c r="C86" t="s">
        <v>124</v>
      </c>
      <c r="D86" t="s">
        <v>11</v>
      </c>
      <c r="E86" s="45"/>
      <c r="F86" s="45"/>
      <c r="G86" s="45"/>
      <c r="H86" s="45" t="s">
        <v>125</v>
      </c>
      <c r="S86" s="17" cm="1">
        <f t="array" ref="S86">_xlfn.XLOOKUP(A86&amp;B86,$K$2:$K$13&amp;$L$2:$L$13,$J$2:$J$13)</f>
        <v>10</v>
      </c>
      <c r="T86" s="12" t="str">
        <v>COBRANÇOSA</v>
      </c>
      <c r="U86" s="13">
        <v>85</v>
      </c>
      <c r="V86" t="str">
        <f t="shared" si="9"/>
        <v>Oliveira COBRANÇOSA</v>
      </c>
      <c r="W86" s="18" t="str">
        <f t="shared" si="10"/>
        <v>INSERT INTO Cultura(CulturaID, Variedade, EspecieVegetalID, EpocaSementeiraPlantacao, EpocaPoda, EpocaFloracao, EpocaColheita) VALUES (85, 'COBRANÇOSA', 10, '', '', '', 'Outubro a novembro');</v>
      </c>
    </row>
    <row r="87" spans="1:23" x14ac:dyDescent="0.25">
      <c r="A87" t="s">
        <v>122</v>
      </c>
      <c r="B87" t="s">
        <v>123</v>
      </c>
      <c r="C87" t="s">
        <v>126</v>
      </c>
      <c r="D87" t="s">
        <v>11</v>
      </c>
      <c r="E87" s="45"/>
      <c r="F87" s="45"/>
      <c r="G87" s="45"/>
      <c r="H87" s="45" t="s">
        <v>125</v>
      </c>
      <c r="S87" s="17" cm="1">
        <f t="array" ref="S87">_xlfn.XLOOKUP(A87&amp;B87,$K$2:$K$13&amp;$L$2:$L$13,$J$2:$J$13)</f>
        <v>10</v>
      </c>
      <c r="T87" s="12" t="str">
        <v>ARBEQUINA</v>
      </c>
      <c r="U87" s="13">
        <v>86</v>
      </c>
      <c r="V87" t="str">
        <f t="shared" si="9"/>
        <v>Oliveira ARBEQUINA</v>
      </c>
      <c r="W87" s="18" t="str">
        <f t="shared" si="10"/>
        <v>INSERT INTO Cultura(CulturaID, Variedade, EspecieVegetalID, EpocaSementeiraPlantacao, EpocaPoda, EpocaFloracao, EpocaColheita) VALUES (86, 'ARBEQUINA', 10, '', '', '', 'Outubro a novembro');</v>
      </c>
    </row>
    <row r="88" spans="1:23" x14ac:dyDescent="0.25">
      <c r="A88" t="s">
        <v>122</v>
      </c>
      <c r="B88" t="s">
        <v>123</v>
      </c>
      <c r="C88" t="s">
        <v>127</v>
      </c>
      <c r="D88" t="s">
        <v>11</v>
      </c>
      <c r="E88" s="45"/>
      <c r="F88" s="45"/>
      <c r="G88" s="45"/>
      <c r="H88" s="45" t="s">
        <v>125</v>
      </c>
      <c r="S88" s="17" cm="1">
        <f t="array" ref="S88">_xlfn.XLOOKUP(A88&amp;B88,$K$2:$K$13&amp;$L$2:$L$13,$J$2:$J$13)</f>
        <v>10</v>
      </c>
      <c r="T88" s="12" t="str">
        <v>HOJIBLANCA</v>
      </c>
      <c r="U88" s="13">
        <v>87</v>
      </c>
      <c r="V88" t="str">
        <f t="shared" si="9"/>
        <v>Oliveira HOJIBLANCA</v>
      </c>
      <c r="W88" s="18" t="str">
        <f t="shared" si="10"/>
        <v>INSERT INTO Cultura(CulturaID, Variedade, EspecieVegetalID, EpocaSementeiraPlantacao, EpocaPoda, EpocaFloracao, EpocaColheita) VALUES (87, 'HOJIBLANCA', 10, '', '', '', 'Outubro a novembro');</v>
      </c>
    </row>
    <row r="89" spans="1:23" x14ac:dyDescent="0.25">
      <c r="A89" t="s">
        <v>122</v>
      </c>
      <c r="B89" t="s">
        <v>123</v>
      </c>
      <c r="C89" t="s">
        <v>128</v>
      </c>
      <c r="D89" t="s">
        <v>11</v>
      </c>
      <c r="E89" s="45"/>
      <c r="F89" s="45"/>
      <c r="G89" s="45"/>
      <c r="H89" s="45" t="s">
        <v>125</v>
      </c>
      <c r="S89" s="17" cm="1">
        <f t="array" ref="S89">_xlfn.XLOOKUP(A89&amp;B89,$K$2:$K$13&amp;$L$2:$L$13,$J$2:$J$13)</f>
        <v>10</v>
      </c>
      <c r="T89" s="12" t="str">
        <v>NEGRINHA DO FREIXO</v>
      </c>
      <c r="U89" s="13">
        <v>88</v>
      </c>
      <c r="V89" t="str">
        <f t="shared" si="9"/>
        <v>Oliveira NEGRINHA DO FREIXO</v>
      </c>
      <c r="W89" s="18" t="str">
        <f t="shared" si="10"/>
        <v>INSERT INTO Cultura(CulturaID, Variedade, EspecieVegetalID, EpocaSementeiraPlantacao, EpocaPoda, EpocaFloracao, EpocaColheita) VALUES (88, 'NEGRINHA DO FREIXO', 10, '', '', '', 'Outubro a novembro');</v>
      </c>
    </row>
    <row r="90" spans="1:23" x14ac:dyDescent="0.25">
      <c r="A90" t="s">
        <v>122</v>
      </c>
      <c r="B90" t="s">
        <v>123</v>
      </c>
      <c r="C90" t="s">
        <v>129</v>
      </c>
      <c r="D90" t="s">
        <v>11</v>
      </c>
      <c r="E90" s="45"/>
      <c r="F90" s="45"/>
      <c r="G90" s="45"/>
      <c r="H90" s="45" t="s">
        <v>125</v>
      </c>
      <c r="S90" s="17" cm="1">
        <f t="array" ref="S90">_xlfn.XLOOKUP(A90&amp;B90,$K$2:$K$13&amp;$L$2:$L$13,$J$2:$J$13)</f>
        <v>10</v>
      </c>
      <c r="T90" s="12" t="str">
        <v>PICUAL</v>
      </c>
      <c r="U90" s="13">
        <v>89</v>
      </c>
      <c r="V90" t="str">
        <f t="shared" si="9"/>
        <v>Oliveira PICUAL</v>
      </c>
      <c r="W90" s="18" t="str">
        <f t="shared" si="10"/>
        <v>INSERT INTO Cultura(CulturaID, Variedade, EspecieVegetalID, EpocaSementeiraPlantacao, EpocaPoda, EpocaFloracao, EpocaColheita) VALUES (89, 'PICUAL', 10, '', '', '', 'Outubro a novembro');</v>
      </c>
    </row>
    <row r="91" spans="1:23" x14ac:dyDescent="0.25">
      <c r="A91" t="s">
        <v>122</v>
      </c>
      <c r="B91" t="s">
        <v>123</v>
      </c>
      <c r="C91" t="s">
        <v>130</v>
      </c>
      <c r="D91" t="s">
        <v>11</v>
      </c>
      <c r="E91" s="45"/>
      <c r="F91" s="45"/>
      <c r="G91" s="45"/>
      <c r="H91" s="45" t="s">
        <v>125</v>
      </c>
      <c r="S91" s="17" cm="1">
        <f t="array" ref="S91">_xlfn.XLOOKUP(A91&amp;B91,$K$2:$K$13&amp;$L$2:$L$13,$J$2:$J$13)</f>
        <v>10</v>
      </c>
      <c r="T91" s="12" t="str">
        <v>MAÇANILHA</v>
      </c>
      <c r="U91" s="13">
        <v>90</v>
      </c>
      <c r="V91" t="str">
        <f t="shared" si="9"/>
        <v>Oliveira MAÇANILHA</v>
      </c>
      <c r="W91" s="18" t="str">
        <f t="shared" si="10"/>
        <v>INSERT INTO Cultura(CulturaID, Variedade, EspecieVegetalID, EpocaSementeiraPlantacao, EpocaPoda, EpocaFloracao, EpocaColheita) VALUES (90, 'MAÇANILHA', 10, '', '', '', 'Outubro a novembro');</v>
      </c>
    </row>
    <row r="92" spans="1:23" x14ac:dyDescent="0.25">
      <c r="A92" t="s">
        <v>122</v>
      </c>
      <c r="B92" t="s">
        <v>123</v>
      </c>
      <c r="C92" t="s">
        <v>131</v>
      </c>
      <c r="D92" t="s">
        <v>11</v>
      </c>
      <c r="E92" s="45"/>
      <c r="F92" s="45"/>
      <c r="G92" s="45"/>
      <c r="H92" s="45" t="s">
        <v>125</v>
      </c>
      <c r="S92" s="17" cm="1">
        <f t="array" ref="S92">_xlfn.XLOOKUP(A92&amp;B92,$K$2:$K$13&amp;$L$2:$L$13,$J$2:$J$13)</f>
        <v>10</v>
      </c>
      <c r="T92" s="12" t="str">
        <v>CONSERVA DE ELVAS</v>
      </c>
      <c r="U92" s="13">
        <v>91</v>
      </c>
      <c r="V92" t="str">
        <f t="shared" si="9"/>
        <v>Oliveira CONSERVA DE ELVAS</v>
      </c>
      <c r="W92" s="18" t="str">
        <f t="shared" si="10"/>
        <v>INSERT INTO Cultura(CulturaID, Variedade, EspecieVegetalID, EpocaSementeiraPlantacao, EpocaPoda, EpocaFloracao, EpocaColheita) VALUES (91, 'CONSERVA DE ELVAS', 10, '', '', '', 'Outubro a novembro');</v>
      </c>
    </row>
    <row r="93" spans="1:23" x14ac:dyDescent="0.25">
      <c r="A93" t="s">
        <v>122</v>
      </c>
      <c r="B93" t="s">
        <v>123</v>
      </c>
      <c r="C93" t="s">
        <v>256</v>
      </c>
      <c r="D93" t="s">
        <v>11</v>
      </c>
      <c r="E93" s="45"/>
      <c r="F93" s="45"/>
      <c r="G93" s="45"/>
      <c r="H93" s="45" t="s">
        <v>125</v>
      </c>
      <c r="S93" s="17" cm="1">
        <f t="array" ref="S93">_xlfn.XLOOKUP(A93&amp;B93,$K$2:$K$13&amp;$L$2:$L$13,$J$2:$J$13)</f>
        <v>10</v>
      </c>
      <c r="T93" s="12" t="str">
        <v>Galega</v>
      </c>
      <c r="U93" s="13">
        <v>92</v>
      </c>
      <c r="V93" t="str">
        <f t="shared" si="9"/>
        <v>Oliveira Galega</v>
      </c>
      <c r="W93" s="18" t="str">
        <f t="shared" si="10"/>
        <v>INSERT INTO Cultura(CulturaID, Variedade, EspecieVegetalID, EpocaSementeiraPlantacao, EpocaPoda, EpocaFloracao, EpocaColheita) VALUES (92, 'Galega', 10, '', '', '', 'Outubro a novembro');</v>
      </c>
    </row>
    <row r="94" spans="1:23" x14ac:dyDescent="0.25">
      <c r="A94" t="s">
        <v>117</v>
      </c>
      <c r="B94" t="s">
        <v>222</v>
      </c>
      <c r="C94" t="s">
        <v>223</v>
      </c>
      <c r="D94" t="s">
        <v>98</v>
      </c>
      <c r="E94" s="45" t="s">
        <v>224</v>
      </c>
      <c r="F94" s="45"/>
      <c r="G94" s="45"/>
      <c r="H94" s="45" t="s">
        <v>225</v>
      </c>
      <c r="S94" s="17" cm="1">
        <f t="array" ref="S94">_xlfn.XLOOKUP(A94&amp;B94,$K$2:$K$13&amp;$L$2:$L$13,$J$2:$J$13)</f>
        <v>11</v>
      </c>
      <c r="T94" s="12" t="str">
        <v>S. Cosme</v>
      </c>
      <c r="U94" s="13">
        <v>93</v>
      </c>
      <c r="V94" t="str">
        <f t="shared" si="9"/>
        <v>Nabo S. Cosme</v>
      </c>
      <c r="W94" s="18" t="str">
        <f t="shared" si="10"/>
        <v>INSERT INTO Cultura(CulturaID, Variedade, EspecieVegetalID, EpocaSementeiraPlantacao, EpocaPoda, EpocaFloracao, EpocaColheita) VALUES (93, 'S. Cosme', 11, 'Fevereiro a abril, agosto a outubro', '', '', '90 dias');</v>
      </c>
    </row>
    <row r="95" spans="1:23" x14ac:dyDescent="0.25">
      <c r="A95" t="s">
        <v>239</v>
      </c>
      <c r="B95" t="s">
        <v>240</v>
      </c>
      <c r="C95" t="s">
        <v>241</v>
      </c>
      <c r="D95" t="s">
        <v>11</v>
      </c>
      <c r="E95" s="45"/>
      <c r="F95" s="45" t="s">
        <v>243</v>
      </c>
      <c r="G95" s="45" t="s">
        <v>242</v>
      </c>
      <c r="H95" s="45" t="s">
        <v>244</v>
      </c>
      <c r="S95" s="17" cm="1">
        <f t="array" ref="S95">_xlfn.XLOOKUP(A95&amp;B95,$K$2:$K$13&amp;$L$2:$L$13,$J$2:$J$13)</f>
        <v>12</v>
      </c>
      <c r="T95" s="12" t="str">
        <v>Dona Maria</v>
      </c>
      <c r="U95" s="13">
        <v>94</v>
      </c>
      <c r="V95" t="str">
        <f t="shared" si="9"/>
        <v>Videira Dona Maria</v>
      </c>
      <c r="W95" s="18" t="str">
        <f t="shared" si="10"/>
        <v>INSERT INTO Cultura(CulturaID, Variedade, EspecieVegetalID, EpocaSementeiraPlantacao, EpocaPoda, EpocaFloracao, EpocaColheita) VALUES (94, 'Dona Maria', 12, '', 'Dezembro a janeiro', 'Maio', 'Junho a agosto');</v>
      </c>
    </row>
    <row r="96" spans="1:23" ht="15.75" thickBot="1" x14ac:dyDescent="0.3">
      <c r="A96" t="s">
        <v>239</v>
      </c>
      <c r="B96" t="s">
        <v>240</v>
      </c>
      <c r="C96" t="s">
        <v>247</v>
      </c>
      <c r="D96" t="s">
        <v>11</v>
      </c>
      <c r="E96" s="45"/>
      <c r="F96" s="45" t="s">
        <v>243</v>
      </c>
      <c r="G96" s="45" t="s">
        <v>242</v>
      </c>
      <c r="H96" s="45" t="s">
        <v>244</v>
      </c>
      <c r="S96" s="17" cm="1">
        <f t="array" ref="S96">_xlfn.XLOOKUP(A96&amp;B96,$K$2:$K$13&amp;$L$2:$L$13,$J$2:$J$13)</f>
        <v>12</v>
      </c>
      <c r="T96" s="14" t="str">
        <v>Cardinal</v>
      </c>
      <c r="U96" s="15">
        <v>95</v>
      </c>
      <c r="V96" t="str">
        <f t="shared" si="9"/>
        <v>Videira Cardinal</v>
      </c>
      <c r="W96" s="18" t="str">
        <f t="shared" si="10"/>
        <v>INSERT INTO Cultura(CulturaID, Variedade, EspecieVegetalID, EpocaSementeiraPlantacao, EpocaPoda, EpocaFloracao, EpocaColheita) VALUES (95, 'Cardinal', 12, '', 'Dezembro a janeiro', 'Maio', 'Junho a agosto');</v>
      </c>
    </row>
  </sheetData>
  <mergeCells count="16">
    <mergeCell ref="J14:M14"/>
    <mergeCell ref="J34:O34"/>
    <mergeCell ref="J15:Q15"/>
    <mergeCell ref="J16:Q16"/>
    <mergeCell ref="J17:Q17"/>
    <mergeCell ref="J18:Q18"/>
    <mergeCell ref="J24:Q24"/>
    <mergeCell ref="J25:Q25"/>
    <mergeCell ref="J26:Q26"/>
    <mergeCell ref="J33:O33"/>
    <mergeCell ref="J29:K29"/>
    <mergeCell ref="J19:Q19"/>
    <mergeCell ref="J20:Q20"/>
    <mergeCell ref="J21:Q21"/>
    <mergeCell ref="J22:Q22"/>
    <mergeCell ref="J23:Q23"/>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BE3C6-089F-4A17-B7E6-182E6A73873F}">
  <dimension ref="A1:O109"/>
  <sheetViews>
    <sheetView workbookViewId="0">
      <selection activeCell="I114" sqref="I114"/>
    </sheetView>
  </sheetViews>
  <sheetFormatPr defaultRowHeight="15" x14ac:dyDescent="0.25"/>
  <cols>
    <col min="1" max="1" width="24" bestFit="1" customWidth="1"/>
    <col min="2" max="2" width="22.7109375" bestFit="1" customWidth="1"/>
    <col min="3" max="3" width="22.140625" bestFit="1" customWidth="1"/>
    <col min="4" max="4" width="11.5703125" bestFit="1" customWidth="1"/>
    <col min="5" max="5" width="26" customWidth="1"/>
    <col min="6" max="6" width="39.140625" customWidth="1"/>
    <col min="7" max="7" width="10.28515625" bestFit="1" customWidth="1"/>
    <col min="8" max="8" width="23.85546875" bestFit="1" customWidth="1"/>
    <col min="9" max="9" width="18" bestFit="1" customWidth="1"/>
    <col min="10" max="10" width="22.140625" bestFit="1" customWidth="1"/>
    <col min="11" max="11" width="7.140625" bestFit="1" customWidth="1"/>
    <col min="12" max="12" width="3.5703125" bestFit="1" customWidth="1"/>
    <col min="13" max="13" width="5.140625" bestFit="1" customWidth="1"/>
    <col min="14" max="14" width="17.7109375" customWidth="1"/>
  </cols>
  <sheetData>
    <row r="1" spans="1:15" x14ac:dyDescent="0.25">
      <c r="A1" s="2" t="s">
        <v>132</v>
      </c>
      <c r="B1" s="2" t="s">
        <v>133</v>
      </c>
      <c r="C1" s="2" t="s">
        <v>134</v>
      </c>
      <c r="D1" s="2" t="s">
        <v>135</v>
      </c>
      <c r="E1" s="2" t="s">
        <v>136</v>
      </c>
      <c r="F1" s="2" t="s">
        <v>137</v>
      </c>
      <c r="G1" s="2" t="s">
        <v>138</v>
      </c>
      <c r="H1" s="2" t="s">
        <v>139</v>
      </c>
      <c r="I1" s="2" t="s">
        <v>138</v>
      </c>
      <c r="J1" s="2" t="s">
        <v>140</v>
      </c>
      <c r="K1" s="2" t="s">
        <v>138</v>
      </c>
      <c r="L1" s="2" t="s">
        <v>141</v>
      </c>
      <c r="M1" s="2" t="s">
        <v>138</v>
      </c>
      <c r="O1" s="2"/>
    </row>
    <row r="2" spans="1:15" x14ac:dyDescent="0.25">
      <c r="A2" t="s">
        <v>142</v>
      </c>
      <c r="B2" t="s">
        <v>143</v>
      </c>
      <c r="C2" t="s">
        <v>144</v>
      </c>
      <c r="D2" t="s">
        <v>145</v>
      </c>
      <c r="E2" t="s">
        <v>146</v>
      </c>
      <c r="F2" t="s">
        <v>147</v>
      </c>
      <c r="G2" s="5">
        <v>0.2</v>
      </c>
    </row>
    <row r="3" spans="1:15" x14ac:dyDescent="0.25">
      <c r="A3" t="s">
        <v>148</v>
      </c>
      <c r="B3" t="s">
        <v>149</v>
      </c>
      <c r="C3" t="s">
        <v>144</v>
      </c>
      <c r="D3" t="s">
        <v>145</v>
      </c>
      <c r="E3" t="s">
        <v>146</v>
      </c>
      <c r="F3" t="s">
        <v>150</v>
      </c>
      <c r="G3" s="5">
        <v>0.8</v>
      </c>
    </row>
    <row r="4" spans="1:15" x14ac:dyDescent="0.25">
      <c r="A4" t="s">
        <v>151</v>
      </c>
      <c r="B4" t="s">
        <v>152</v>
      </c>
      <c r="C4" t="s">
        <v>153</v>
      </c>
      <c r="D4" t="s">
        <v>154</v>
      </c>
      <c r="E4" t="s">
        <v>155</v>
      </c>
      <c r="F4" t="s">
        <v>156</v>
      </c>
      <c r="G4" s="5">
        <v>0.249</v>
      </c>
      <c r="H4" t="s">
        <v>157</v>
      </c>
      <c r="I4" s="3">
        <v>0.06</v>
      </c>
      <c r="J4" t="s">
        <v>150</v>
      </c>
      <c r="K4" s="4">
        <v>0.17599999999999999</v>
      </c>
    </row>
    <row r="5" spans="1:15" x14ac:dyDescent="0.25">
      <c r="A5" t="s">
        <v>158</v>
      </c>
      <c r="B5" t="s">
        <v>152</v>
      </c>
      <c r="C5" t="s">
        <v>153</v>
      </c>
      <c r="D5" t="s">
        <v>154</v>
      </c>
      <c r="E5" t="s">
        <v>155</v>
      </c>
      <c r="F5" t="s">
        <v>157</v>
      </c>
      <c r="G5" s="5">
        <v>0.151</v>
      </c>
      <c r="H5" t="s">
        <v>150</v>
      </c>
      <c r="I5" s="4">
        <v>0.20799999999999999</v>
      </c>
    </row>
    <row r="6" spans="1:15" x14ac:dyDescent="0.25">
      <c r="A6" t="s">
        <v>159</v>
      </c>
      <c r="B6" t="s">
        <v>152</v>
      </c>
      <c r="C6" t="s">
        <v>153</v>
      </c>
      <c r="D6" t="s">
        <v>154</v>
      </c>
      <c r="E6" t="s">
        <v>160</v>
      </c>
      <c r="F6" t="s">
        <v>157</v>
      </c>
      <c r="G6" s="5">
        <v>0.09</v>
      </c>
      <c r="H6" t="s">
        <v>150</v>
      </c>
      <c r="I6" s="4">
        <v>0.124</v>
      </c>
      <c r="J6" t="s">
        <v>161</v>
      </c>
      <c r="K6" s="4">
        <v>8.9999999999999993E-3</v>
      </c>
      <c r="L6" t="s">
        <v>162</v>
      </c>
      <c r="M6" s="3">
        <v>0.01</v>
      </c>
    </row>
    <row r="7" spans="1:15" x14ac:dyDescent="0.25">
      <c r="A7" t="s">
        <v>163</v>
      </c>
      <c r="B7" t="s">
        <v>152</v>
      </c>
      <c r="C7" t="s">
        <v>153</v>
      </c>
      <c r="D7" t="s">
        <v>154</v>
      </c>
      <c r="E7" t="s">
        <v>164</v>
      </c>
      <c r="F7" t="s">
        <v>157</v>
      </c>
      <c r="G7" s="5">
        <v>9.6000000000000002E-2</v>
      </c>
      <c r="H7" t="s">
        <v>150</v>
      </c>
      <c r="I7" s="3">
        <v>0.13</v>
      </c>
    </row>
    <row r="8" spans="1:15" x14ac:dyDescent="0.25">
      <c r="A8" t="s">
        <v>165</v>
      </c>
      <c r="B8" t="s">
        <v>166</v>
      </c>
      <c r="C8" t="s">
        <v>153</v>
      </c>
      <c r="D8" t="s">
        <v>167</v>
      </c>
      <c r="E8" t="s">
        <v>168</v>
      </c>
      <c r="F8" t="s">
        <v>169</v>
      </c>
      <c r="G8" s="5">
        <v>0.88200000000000001</v>
      </c>
      <c r="H8" t="s">
        <v>170</v>
      </c>
      <c r="I8" s="4">
        <v>1.9E-2</v>
      </c>
    </row>
    <row r="9" spans="1:15" x14ac:dyDescent="0.25">
      <c r="A9" t="s">
        <v>171</v>
      </c>
      <c r="B9" t="s">
        <v>166</v>
      </c>
      <c r="C9" t="s">
        <v>172</v>
      </c>
      <c r="D9" t="s">
        <v>167</v>
      </c>
      <c r="E9" t="s">
        <v>168</v>
      </c>
      <c r="F9" t="s">
        <v>169</v>
      </c>
      <c r="G9" s="5">
        <v>0.71699999999999997</v>
      </c>
      <c r="H9" t="s">
        <v>170</v>
      </c>
      <c r="I9" s="4">
        <v>0.14799999999999999</v>
      </c>
      <c r="J9" t="s">
        <v>173</v>
      </c>
      <c r="K9" s="4">
        <v>7.9000000000000001E-2</v>
      </c>
    </row>
    <row r="10" spans="1:15" x14ac:dyDescent="0.25">
      <c r="A10" t="s">
        <v>228</v>
      </c>
      <c r="B10" t="s">
        <v>149</v>
      </c>
      <c r="C10" t="s">
        <v>229</v>
      </c>
      <c r="D10" t="s">
        <v>145</v>
      </c>
      <c r="E10" t="s">
        <v>146</v>
      </c>
      <c r="F10" t="s">
        <v>230</v>
      </c>
      <c r="G10" s="4">
        <v>0.97740000000000005</v>
      </c>
    </row>
    <row r="11" spans="1:15" x14ac:dyDescent="0.25">
      <c r="A11" t="s">
        <v>231</v>
      </c>
      <c r="B11" t="s">
        <v>149</v>
      </c>
      <c r="C11" t="s">
        <v>233</v>
      </c>
      <c r="D11" t="s">
        <v>145</v>
      </c>
      <c r="E11" t="s">
        <v>232</v>
      </c>
      <c r="F11" t="s">
        <v>234</v>
      </c>
      <c r="G11" s="4">
        <v>0.47799999999999998</v>
      </c>
    </row>
    <row r="12" spans="1:15" x14ac:dyDescent="0.25">
      <c r="A12" t="s">
        <v>236</v>
      </c>
      <c r="B12" t="s">
        <v>149</v>
      </c>
      <c r="C12" t="s">
        <v>229</v>
      </c>
      <c r="D12" t="s">
        <v>145</v>
      </c>
      <c r="E12" t="s">
        <v>232</v>
      </c>
      <c r="F12" t="s">
        <v>235</v>
      </c>
      <c r="G12" s="4">
        <v>0.14419999999999999</v>
      </c>
    </row>
    <row r="13" spans="1:15" ht="15.75" thickBot="1" x14ac:dyDescent="0.3">
      <c r="G13" s="4"/>
    </row>
    <row r="14" spans="1:15" x14ac:dyDescent="0.25">
      <c r="A14" s="144" t="s">
        <v>262</v>
      </c>
      <c r="B14" s="145"/>
      <c r="C14" s="145"/>
      <c r="D14" s="145"/>
      <c r="E14" s="146"/>
    </row>
    <row r="15" spans="1:15" x14ac:dyDescent="0.25">
      <c r="A15" s="77" t="s">
        <v>270</v>
      </c>
      <c r="B15" s="70" t="s">
        <v>271</v>
      </c>
      <c r="C15" s="70" t="s">
        <v>272</v>
      </c>
      <c r="D15" s="70" t="s">
        <v>273</v>
      </c>
      <c r="E15" s="78" t="s">
        <v>274</v>
      </c>
      <c r="F15" s="109"/>
    </row>
    <row r="16" spans="1:15" x14ac:dyDescent="0.25">
      <c r="A16" s="72" t="str" cm="1">
        <f t="array" ref="A16:A26">_xlfn.UNIQUE(A2:A12)</f>
        <v>Calda Bordalesa ASCENZA</v>
      </c>
      <c r="B16" s="76">
        <v>1</v>
      </c>
      <c r="C16" s="76" cm="1">
        <f t="array" ref="C16">_xlfn.XLOOKUP(B2,_xlfn.ANCHORARRAY($A$29),$B$16:$B$19,0,0)</f>
        <v>1</v>
      </c>
      <c r="D16" s="76" cm="1">
        <f t="array" ref="D16">_xlfn.XLOOKUP(C2,_xlfn.ANCHORARRAY($A$35),$B$16:$B$20,0,0)</f>
        <v>1</v>
      </c>
      <c r="E16" s="73" cm="1">
        <f t="array" ref="E16">_xlfn.XLOOKUP(D2,_xlfn.ANCHORARRAY($A$42),$B$16:$B$18,0,0)</f>
        <v>1</v>
      </c>
      <c r="F16" s="80" t="str">
        <f t="shared" ref="F16:F26" si="0">"INSERT INTO FatorProdução(FatorProducaoID, NomeComercial, FabricanteID, FormatoID, TipoFatorProducaoID) VALUES ("&amp;B16&amp;", '"&amp;A16&amp;"', "&amp;C16&amp;", "&amp;D16&amp;", "&amp;E16&amp;");"</f>
        <v>INSERT INTO FatorProdução(FatorProducaoID, NomeComercial, FabricanteID, FormatoID, TipoFatorProducaoID) VALUES (1, 'Calda Bordalesa ASCENZA', 1, 1, 1);</v>
      </c>
      <c r="G16" s="80"/>
      <c r="H16" s="80"/>
      <c r="I16" s="80"/>
      <c r="J16" s="80"/>
      <c r="K16" s="80"/>
      <c r="L16" s="80"/>
      <c r="M16" s="80"/>
      <c r="N16" s="80"/>
      <c r="O16" s="103">
        <v>5</v>
      </c>
    </row>
    <row r="17" spans="1:14" x14ac:dyDescent="0.25">
      <c r="A17" s="72" t="str">
        <v>Enxofre Bayer 80 WG</v>
      </c>
      <c r="B17" s="76">
        <f>B16+1</f>
        <v>2</v>
      </c>
      <c r="C17" s="76" cm="1">
        <f t="array" ref="C17">_xlfn.XLOOKUP(B3,_xlfn.ANCHORARRAY($A$29),$B$16:$B$19,0,0)</f>
        <v>2</v>
      </c>
      <c r="D17" s="76" cm="1">
        <f t="array" ref="D17">_xlfn.XLOOKUP(C3,_xlfn.ANCHORARRAY($A$35),$B$16:$B$20,0,0)</f>
        <v>1</v>
      </c>
      <c r="E17" s="73" cm="1">
        <f t="array" ref="E17">_xlfn.XLOOKUP(D3,_xlfn.ANCHORARRAY($A$42),$B$16:$B$18,0,0)</f>
        <v>1</v>
      </c>
      <c r="F17" s="80" t="str">
        <f t="shared" si="0"/>
        <v>INSERT INTO FatorProdução(FatorProducaoID, NomeComercial, FabricanteID, FormatoID, TipoFatorProducaoID) VALUES (2, 'Enxofre Bayer 80 WG', 2, 1, 1);</v>
      </c>
      <c r="G17" s="80"/>
      <c r="H17" s="80"/>
      <c r="I17" s="80"/>
      <c r="J17" s="80"/>
      <c r="K17" s="80"/>
      <c r="L17" s="80"/>
      <c r="M17" s="80"/>
      <c r="N17" s="80"/>
    </row>
    <row r="18" spans="1:14" x14ac:dyDescent="0.25">
      <c r="A18" s="72" t="str">
        <v>Patentkali</v>
      </c>
      <c r="B18" s="76">
        <f t="shared" ref="B18:B26" si="1">B17+1</f>
        <v>3</v>
      </c>
      <c r="C18" s="76" cm="1">
        <f t="array" ref="C18">_xlfn.XLOOKUP(B4,_xlfn.ANCHORARRAY($A$29),$B$16:$B$19,0,0)</f>
        <v>3</v>
      </c>
      <c r="D18" s="76" cm="1">
        <f t="array" ref="D18">_xlfn.XLOOKUP(C4,_xlfn.ANCHORARRAY($A$35),$B$16:$B$20,0,0)</f>
        <v>2</v>
      </c>
      <c r="E18" s="73" cm="1">
        <f t="array" ref="E18">_xlfn.XLOOKUP(D4,_xlfn.ANCHORARRAY($A$42),$B$16:$B$18,0,0)</f>
        <v>2</v>
      </c>
      <c r="F18" s="80" t="str">
        <f t="shared" si="0"/>
        <v>INSERT INTO FatorProdução(FatorProducaoID, NomeComercial, FabricanteID, FormatoID, TipoFatorProducaoID) VALUES (3, 'Patentkali', 3, 2, 2);</v>
      </c>
      <c r="G18" s="80"/>
      <c r="H18" s="80"/>
      <c r="I18" s="80"/>
      <c r="J18" s="80"/>
      <c r="K18" s="80"/>
      <c r="L18" s="80"/>
      <c r="M18" s="80"/>
      <c r="N18" s="80"/>
    </row>
    <row r="19" spans="1:14" x14ac:dyDescent="0.25">
      <c r="A19" s="72" t="str">
        <v>ESTA Kieserit</v>
      </c>
      <c r="B19" s="76">
        <f t="shared" si="1"/>
        <v>4</v>
      </c>
      <c r="C19" s="76" cm="1">
        <f t="array" ref="C19">_xlfn.XLOOKUP(B5,_xlfn.ANCHORARRAY($A$29),$B$16:$B$19,0,0)</f>
        <v>3</v>
      </c>
      <c r="D19" s="76" cm="1">
        <f t="array" ref="D19">_xlfn.XLOOKUP(C5,_xlfn.ANCHORARRAY($A$35),$B$16:$B$20,0,0)</f>
        <v>2</v>
      </c>
      <c r="E19" s="73" cm="1">
        <f t="array" ref="E19">_xlfn.XLOOKUP(D5,_xlfn.ANCHORARRAY($A$42),$B$16:$B$18,0,0)</f>
        <v>2</v>
      </c>
      <c r="F19" s="80" t="str">
        <f t="shared" si="0"/>
        <v>INSERT INTO FatorProdução(FatorProducaoID, NomeComercial, FabricanteID, FormatoID, TipoFatorProducaoID) VALUES (4, 'ESTA Kieserit', 3, 2, 2);</v>
      </c>
      <c r="G19" s="80"/>
      <c r="H19" s="80"/>
      <c r="I19" s="80"/>
      <c r="J19" s="80"/>
      <c r="K19" s="80"/>
      <c r="L19" s="80"/>
      <c r="M19" s="80"/>
      <c r="N19" s="80"/>
    </row>
    <row r="20" spans="1:14" x14ac:dyDescent="0.25">
      <c r="A20" s="72" t="str">
        <v>EPSO Microtop</v>
      </c>
      <c r="B20" s="76">
        <f t="shared" si="1"/>
        <v>5</v>
      </c>
      <c r="C20" s="76" cm="1">
        <f t="array" ref="C20">_xlfn.XLOOKUP(B6,_xlfn.ANCHORARRAY($A$29),$B$16:$B$19,0,0)</f>
        <v>3</v>
      </c>
      <c r="D20" s="76" cm="1">
        <f t="array" ref="D20">_xlfn.XLOOKUP(C6,_xlfn.ANCHORARRAY($A$35),$B$16:$B$20,0,0)</f>
        <v>2</v>
      </c>
      <c r="E20" s="73" cm="1">
        <f t="array" ref="E20">_xlfn.XLOOKUP(D6,_xlfn.ANCHORARRAY($A$42),$B$16:$B$18,0,0)</f>
        <v>2</v>
      </c>
      <c r="F20" s="80" t="str">
        <f t="shared" si="0"/>
        <v>INSERT INTO FatorProdução(FatorProducaoID, NomeComercial, FabricanteID, FormatoID, TipoFatorProducaoID) VALUES (5, 'EPSO Microtop', 3, 2, 2);</v>
      </c>
      <c r="G20" s="80"/>
      <c r="H20" s="80"/>
      <c r="I20" s="80"/>
      <c r="J20" s="80"/>
      <c r="K20" s="80"/>
      <c r="L20" s="80"/>
      <c r="M20" s="80"/>
      <c r="N20" s="80"/>
    </row>
    <row r="21" spans="1:14" x14ac:dyDescent="0.25">
      <c r="A21" s="72" t="str">
        <v>EPSO Top</v>
      </c>
      <c r="B21" s="76">
        <f t="shared" si="1"/>
        <v>6</v>
      </c>
      <c r="C21" s="76" cm="1">
        <f t="array" ref="C21">_xlfn.XLOOKUP(B7,_xlfn.ANCHORARRAY($A$29),$B$16:$B$19,0,0)</f>
        <v>3</v>
      </c>
      <c r="D21" s="76" cm="1">
        <f t="array" ref="D21">_xlfn.XLOOKUP(C7,_xlfn.ANCHORARRAY($A$35),$B$16:$B$20,0,0)</f>
        <v>2</v>
      </c>
      <c r="E21" s="73" cm="1">
        <f t="array" ref="E21">_xlfn.XLOOKUP(D7,_xlfn.ANCHORARRAY($A$42),$B$16:$B$18,0,0)</f>
        <v>2</v>
      </c>
      <c r="F21" s="80" t="str">
        <f t="shared" si="0"/>
        <v>INSERT INTO FatorProdução(FatorProducaoID, NomeComercial, FabricanteID, FormatoID, TipoFatorProducaoID) VALUES (6, 'EPSO Top', 3, 2, 2);</v>
      </c>
      <c r="G21" s="80"/>
      <c r="H21" s="80"/>
      <c r="I21" s="80"/>
      <c r="J21" s="80"/>
      <c r="K21" s="80"/>
      <c r="L21" s="80"/>
      <c r="M21" s="80"/>
      <c r="N21" s="80"/>
    </row>
    <row r="22" spans="1:14" x14ac:dyDescent="0.25">
      <c r="A22" s="72" t="str">
        <v>Biocal CaCo3</v>
      </c>
      <c r="B22" s="76">
        <f t="shared" si="1"/>
        <v>7</v>
      </c>
      <c r="C22" s="76" cm="1">
        <f t="array" ref="C22">_xlfn.XLOOKUP(B8,_xlfn.ANCHORARRAY($A$29),$B$16:$B$19,0,0)</f>
        <v>4</v>
      </c>
      <c r="D22" s="76" cm="1">
        <f t="array" ref="D22">_xlfn.XLOOKUP(C8,_xlfn.ANCHORARRAY($A$35),$B$16:$B$20,0,0)</f>
        <v>2</v>
      </c>
      <c r="E22" s="73" cm="1">
        <f t="array" ref="E22">_xlfn.XLOOKUP(D8,_xlfn.ANCHORARRAY($A$42),$B$16:$B$18,0,0)</f>
        <v>3</v>
      </c>
      <c r="F22" s="80" t="str">
        <f t="shared" si="0"/>
        <v>INSERT INTO FatorProdução(FatorProducaoID, NomeComercial, FabricanteID, FormatoID, TipoFatorProducaoID) VALUES (7, 'Biocal CaCo3', 4, 2, 3);</v>
      </c>
      <c r="G22" s="80"/>
      <c r="H22" s="80"/>
      <c r="I22" s="80"/>
      <c r="J22" s="80"/>
      <c r="K22" s="80"/>
      <c r="L22" s="80"/>
      <c r="M22" s="80"/>
      <c r="N22" s="80"/>
    </row>
    <row r="23" spans="1:14" x14ac:dyDescent="0.25">
      <c r="A23" s="72" t="str">
        <v>Biocal Composto</v>
      </c>
      <c r="B23" s="76">
        <f t="shared" si="1"/>
        <v>8</v>
      </c>
      <c r="C23" s="76" cm="1">
        <f t="array" ref="C23">_xlfn.XLOOKUP(B9,_xlfn.ANCHORARRAY($A$29),$B$16:$B$19,0,0)</f>
        <v>4</v>
      </c>
      <c r="D23" s="76" cm="1">
        <f t="array" ref="D23">_xlfn.XLOOKUP(C9,_xlfn.ANCHORARRAY($A$35),$B$16:$B$20,0,0)</f>
        <v>3</v>
      </c>
      <c r="E23" s="73" cm="1">
        <f t="array" ref="E23">_xlfn.XLOOKUP(D9,_xlfn.ANCHORARRAY($A$42),$B$16:$B$18,0,0)</f>
        <v>3</v>
      </c>
      <c r="F23" s="80" t="str">
        <f t="shared" si="0"/>
        <v>INSERT INTO FatorProdução(FatorProducaoID, NomeComercial, FabricanteID, FormatoID, TipoFatorProducaoID) VALUES (8, 'Biocal Composto', 4, 3, 3);</v>
      </c>
      <c r="G23" s="80"/>
      <c r="H23" s="80"/>
      <c r="I23" s="80"/>
      <c r="J23" s="80"/>
      <c r="K23" s="80"/>
      <c r="L23" s="80"/>
      <c r="M23" s="80"/>
      <c r="N23" s="80"/>
    </row>
    <row r="24" spans="1:14" x14ac:dyDescent="0.25">
      <c r="A24" s="72" t="str">
        <v>Sonata</v>
      </c>
      <c r="B24" s="76">
        <f t="shared" si="1"/>
        <v>9</v>
      </c>
      <c r="C24" s="76" cm="1">
        <f t="array" ref="C24">_xlfn.XLOOKUP(B10,_xlfn.ANCHORARRAY($A$29),$B$16:$B$19,0,0)</f>
        <v>2</v>
      </c>
      <c r="D24" s="76" cm="1">
        <f t="array" ref="D24">_xlfn.XLOOKUP(C10,_xlfn.ANCHORARRAY($A$35),$B$16:$B$20,0,0)</f>
        <v>4</v>
      </c>
      <c r="E24" s="73" cm="1">
        <f t="array" ref="E24">_xlfn.XLOOKUP(D10,_xlfn.ANCHORARRAY($A$42),$B$16:$B$18,0,0)</f>
        <v>1</v>
      </c>
      <c r="F24" s="80" t="str">
        <f t="shared" si="0"/>
        <v>INSERT INTO FatorProdução(FatorProducaoID, NomeComercial, FabricanteID, FormatoID, TipoFatorProducaoID) VALUES (9, 'Sonata', 2, 4, 1);</v>
      </c>
      <c r="G24" s="80"/>
      <c r="H24" s="80"/>
      <c r="I24" s="80"/>
      <c r="J24" s="80"/>
      <c r="K24" s="80"/>
      <c r="L24" s="80"/>
      <c r="M24" s="80"/>
      <c r="N24" s="80"/>
    </row>
    <row r="25" spans="1:14" x14ac:dyDescent="0.25">
      <c r="A25" s="72" t="str">
        <v xml:space="preserve">FLiPPER </v>
      </c>
      <c r="B25" s="76">
        <f t="shared" si="1"/>
        <v>10</v>
      </c>
      <c r="C25" s="76" cm="1">
        <f t="array" ref="C25">_xlfn.XLOOKUP(B11,_xlfn.ANCHORARRAY($A$29),$B$16:$B$19,0,0)</f>
        <v>2</v>
      </c>
      <c r="D25" s="76" cm="1">
        <f t="array" ref="D25">_xlfn.XLOOKUP(C11,_xlfn.ANCHORARRAY($A$35),$B$16:$B$20,0,0)</f>
        <v>5</v>
      </c>
      <c r="E25" s="73" cm="1">
        <f t="array" ref="E25">_xlfn.XLOOKUP(D11,_xlfn.ANCHORARRAY($A$42),$B$16:$B$18,0,0)</f>
        <v>1</v>
      </c>
      <c r="F25" s="80" t="str">
        <f t="shared" si="0"/>
        <v>INSERT INTO FatorProdução(FatorProducaoID, NomeComercial, FabricanteID, FormatoID, TipoFatorProducaoID) VALUES (10, 'FLiPPER ', 2, 5, 1);</v>
      </c>
      <c r="G25" s="80"/>
      <c r="H25" s="80"/>
      <c r="I25" s="80"/>
      <c r="J25" s="80"/>
      <c r="K25" s="80"/>
      <c r="L25" s="80"/>
      <c r="M25" s="80"/>
      <c r="N25" s="80"/>
    </row>
    <row r="26" spans="1:14" ht="15.75" thickBot="1" x14ac:dyDescent="0.3">
      <c r="A26" s="74" t="str">
        <v>Requiem Prime</v>
      </c>
      <c r="B26" s="79">
        <f t="shared" si="1"/>
        <v>11</v>
      </c>
      <c r="C26" s="79" cm="1">
        <f t="array" ref="C26">_xlfn.XLOOKUP(B12,_xlfn.ANCHORARRAY($A$29),$B$16:$B$19,0,0)</f>
        <v>2</v>
      </c>
      <c r="D26" s="79" cm="1">
        <f t="array" ref="D26">_xlfn.XLOOKUP(C12,_xlfn.ANCHORARRAY($A$35),$B$16:$B$20,0,0)</f>
        <v>4</v>
      </c>
      <c r="E26" s="75" cm="1">
        <f t="array" ref="E26">_xlfn.XLOOKUP(D12,_xlfn.ANCHORARRAY($A$42),$B$16:$B$18,0,0)</f>
        <v>1</v>
      </c>
      <c r="F26" s="80" t="str">
        <f t="shared" si="0"/>
        <v>INSERT INTO FatorProdução(FatorProducaoID, NomeComercial, FabricanteID, FormatoID, TipoFatorProducaoID) VALUES (11, 'Requiem Prime', 2, 4, 1);</v>
      </c>
      <c r="G26" s="80"/>
      <c r="H26" s="80"/>
      <c r="I26" s="80"/>
      <c r="J26" s="80"/>
      <c r="K26" s="80"/>
      <c r="L26" s="80"/>
      <c r="M26" s="80"/>
      <c r="N26" s="80"/>
    </row>
    <row r="27" spans="1:14" ht="15.75" thickBot="1" x14ac:dyDescent="0.3"/>
    <row r="28" spans="1:14" x14ac:dyDescent="0.25">
      <c r="A28" s="81" t="s">
        <v>133</v>
      </c>
    </row>
    <row r="29" spans="1:14" x14ac:dyDescent="0.25">
      <c r="A29" s="82" t="str" cm="1">
        <f t="array" ref="A29:A32">_xlfn.UNIQUE(B2:B12)</f>
        <v>ASCENZA</v>
      </c>
      <c r="B29" s="152" t="str">
        <f>"INSERT INTO Fabricante(FabricanteID, DesignacaoFabricante) VALUES ("&amp;B16&amp;", '"&amp;A29&amp;"');"</f>
        <v>INSERT INTO Fabricante(FabricanteID, DesignacaoFabricante) VALUES (1, 'ASCENZA');</v>
      </c>
      <c r="C29" s="153"/>
      <c r="D29" s="153"/>
      <c r="E29" s="153"/>
      <c r="F29" s="107"/>
      <c r="H29" s="108"/>
    </row>
    <row r="30" spans="1:14" x14ac:dyDescent="0.25">
      <c r="A30" s="82" t="str">
        <v>Bayer</v>
      </c>
      <c r="B30" s="152" t="str">
        <f t="shared" ref="B30:B32" si="2">"INSERT INTO Fabricante(FabricanteID, DesignacaoFabricante) VALUES ("&amp;B17&amp;", '"&amp;A30&amp;"');"</f>
        <v>INSERT INTO Fabricante(FabricanteID, DesignacaoFabricante) VALUES (2, 'Bayer');</v>
      </c>
      <c r="C30" s="153"/>
      <c r="D30" s="153"/>
      <c r="E30" s="153"/>
      <c r="F30" s="105">
        <v>1</v>
      </c>
    </row>
    <row r="31" spans="1:14" x14ac:dyDescent="0.25">
      <c r="A31" s="82" t="str">
        <v>K+S</v>
      </c>
      <c r="B31" s="152" t="str">
        <f t="shared" si="2"/>
        <v>INSERT INTO Fabricante(FabricanteID, DesignacaoFabricante) VALUES (3, 'K+S');</v>
      </c>
      <c r="C31" s="153"/>
      <c r="D31" s="153"/>
      <c r="E31" s="153"/>
    </row>
    <row r="32" spans="1:14" ht="15.75" thickBot="1" x14ac:dyDescent="0.3">
      <c r="A32" s="83" t="str">
        <v>Biocal</v>
      </c>
      <c r="B32" s="152" t="str">
        <f t="shared" si="2"/>
        <v>INSERT INTO Fabricante(FabricanteID, DesignacaoFabricante) VALUES (4, 'Biocal');</v>
      </c>
      <c r="C32" s="153"/>
      <c r="D32" s="153"/>
      <c r="E32" s="153"/>
    </row>
    <row r="33" spans="1:7" ht="15.75" thickBot="1" x14ac:dyDescent="0.3">
      <c r="A33" s="7"/>
    </row>
    <row r="34" spans="1:7" x14ac:dyDescent="0.25">
      <c r="A34" s="84" t="s">
        <v>134</v>
      </c>
    </row>
    <row r="35" spans="1:7" x14ac:dyDescent="0.25">
      <c r="A35" s="85" t="str" cm="1">
        <f t="array" ref="A35:A39">_xlfn.UNIQUE(C2:C12)</f>
        <v>Pó molhável</v>
      </c>
      <c r="B35" s="141" t="str">
        <f>"INSERT INTO Formato(FormatoID, DescricaoFormato) VALUES ("&amp;B16&amp;", '"&amp;A35&amp;"');"</f>
        <v>INSERT INTO Formato(FormatoID, DescricaoFormato) VALUES (1, 'Pó molhável');</v>
      </c>
      <c r="C35" s="142"/>
      <c r="D35" s="142"/>
      <c r="E35" s="142"/>
      <c r="F35" s="105">
        <v>2</v>
      </c>
    </row>
    <row r="36" spans="1:7" x14ac:dyDescent="0.25">
      <c r="A36" s="85" t="str">
        <v>Granulado</v>
      </c>
      <c r="B36" s="141" t="str">
        <f t="shared" ref="B36:B39" si="3">"INSERT INTO Formato(FormatoID, DescricaoFormato) VALUES ("&amp;B17&amp;", '"&amp;A36&amp;"');"</f>
        <v>INSERT INTO Formato(FormatoID, DescricaoFormato) VALUES (2, 'Granulado');</v>
      </c>
      <c r="C36" s="142"/>
      <c r="D36" s="142"/>
      <c r="E36" s="142"/>
    </row>
    <row r="37" spans="1:7" x14ac:dyDescent="0.25">
      <c r="A37" s="85" t="str">
        <v>Pó</v>
      </c>
      <c r="B37" s="141" t="str">
        <f t="shared" si="3"/>
        <v>INSERT INTO Formato(FormatoID, DescricaoFormato) VALUES (3, 'Pó');</v>
      </c>
      <c r="C37" s="142"/>
      <c r="D37" s="142"/>
      <c r="E37" s="142"/>
    </row>
    <row r="38" spans="1:7" x14ac:dyDescent="0.25">
      <c r="A38" s="85" t="str">
        <v>Líquido</v>
      </c>
      <c r="B38" s="141" t="str">
        <f t="shared" si="3"/>
        <v>INSERT INTO Formato(FormatoID, DescricaoFormato) VALUES (4, 'Líquido');</v>
      </c>
      <c r="C38" s="142"/>
      <c r="D38" s="142"/>
      <c r="E38" s="142"/>
    </row>
    <row r="39" spans="1:7" ht="15.75" thickBot="1" x14ac:dyDescent="0.3">
      <c r="A39" s="86" t="str">
        <v>Emulsão de óleo em água</v>
      </c>
      <c r="B39" s="141" t="str">
        <f t="shared" si="3"/>
        <v>INSERT INTO Formato(FormatoID, DescricaoFormato) VALUES (5, 'Emulsão de óleo em água');</v>
      </c>
      <c r="C39" s="142"/>
      <c r="D39" s="142"/>
      <c r="E39" s="142"/>
    </row>
    <row r="40" spans="1:7" ht="15.75" thickBot="1" x14ac:dyDescent="0.3">
      <c r="A40" s="7"/>
    </row>
    <row r="41" spans="1:7" x14ac:dyDescent="0.25">
      <c r="A41" s="87" t="s">
        <v>263</v>
      </c>
    </row>
    <row r="42" spans="1:7" x14ac:dyDescent="0.25">
      <c r="A42" s="88" t="str" cm="1">
        <f t="array" ref="A42:A44">_xlfn.UNIQUE(D2:D12)</f>
        <v>Fitofármaco</v>
      </c>
      <c r="B42" s="139" t="str">
        <f>"INSERT INTO TipoFatorProducao(TipoFatorProducaoID, DescricaoTipoFatorProducao) VALUES ("&amp;B16&amp;", '"&amp;A42&amp;"');"</f>
        <v>INSERT INTO TipoFatorProducao(TipoFatorProducaoID, DescricaoTipoFatorProducao) VALUES (1, 'Fitofármaco');</v>
      </c>
      <c r="C42" s="140"/>
      <c r="D42" s="140"/>
      <c r="E42" s="140"/>
      <c r="F42" s="140"/>
      <c r="G42" s="105">
        <v>3</v>
      </c>
    </row>
    <row r="43" spans="1:7" x14ac:dyDescent="0.25">
      <c r="A43" s="88" t="str">
        <v>Adubo</v>
      </c>
      <c r="B43" s="139" t="str">
        <f t="shared" ref="B43:B44" si="4">"INSERT INTO TipoFatorProducao(TipoFatorProducaoID, DescricaoTipoFatorProducao) VALUES ("&amp;B17&amp;", '"&amp;A43&amp;"');"</f>
        <v>INSERT INTO TipoFatorProducao(TipoFatorProducaoID, DescricaoTipoFatorProducao) VALUES (2, 'Adubo');</v>
      </c>
      <c r="C43" s="140"/>
      <c r="D43" s="140"/>
      <c r="E43" s="140"/>
      <c r="F43" s="140"/>
    </row>
    <row r="44" spans="1:7" ht="15.75" thickBot="1" x14ac:dyDescent="0.3">
      <c r="A44" s="89" t="str">
        <v>Corretor</v>
      </c>
      <c r="B44" s="139" t="str">
        <f t="shared" si="4"/>
        <v>INSERT INTO TipoFatorProducao(TipoFatorProducaoID, DescricaoTipoFatorProducao) VALUES (3, 'Corretor');</v>
      </c>
      <c r="C44" s="140"/>
      <c r="D44" s="140"/>
      <c r="E44" s="140"/>
      <c r="F44" s="140"/>
    </row>
    <row r="45" spans="1:7" ht="15.75" thickBot="1" x14ac:dyDescent="0.3">
      <c r="A45" s="6" t="s">
        <v>286</v>
      </c>
    </row>
    <row r="46" spans="1:7" x14ac:dyDescent="0.25">
      <c r="A46" s="7" t="str" cm="1">
        <f t="array" ref="A46:A53">_xlfn.UNIQUE(F2:F12)</f>
        <v>CU</v>
      </c>
      <c r="B46" s="137" t="s">
        <v>264</v>
      </c>
      <c r="C46" s="138"/>
    </row>
    <row r="47" spans="1:7" x14ac:dyDescent="0.25">
      <c r="A47" s="7" t="str">
        <v>S</v>
      </c>
      <c r="B47" s="95">
        <v>1</v>
      </c>
      <c r="C47" s="96" t="str" cm="1">
        <f t="array" ref="C47:C58">_xlfn.UNIQUE(A46:A59)</f>
        <v>CU</v>
      </c>
      <c r="D47" s="135" t="str">
        <f>"INSERT INTO Elemento(ElementoID, Nome) VALUES ("&amp;B47&amp;", '"&amp;C47&amp;"');"</f>
        <v>INSERT INTO Elemento(ElementoID, Nome) VALUES (1, 'CU');</v>
      </c>
      <c r="E47" s="136"/>
      <c r="F47" s="136"/>
      <c r="G47" s="105">
        <v>4</v>
      </c>
    </row>
    <row r="48" spans="1:7" x14ac:dyDescent="0.25">
      <c r="A48" s="7" t="str">
        <v>K</v>
      </c>
      <c r="B48" s="95">
        <f>B47+1</f>
        <v>2</v>
      </c>
      <c r="C48" s="96" t="str">
        <v>S</v>
      </c>
      <c r="D48" s="135" t="str">
        <f t="shared" ref="D48:D58" si="5">"INSERT INTO Elemento(ElementoID, Nome) VALUES ("&amp;B48&amp;", '"&amp;C48&amp;"');"</f>
        <v>INSERT INTO Elemento(ElementoID, Nome) VALUES (2, 'S');</v>
      </c>
      <c r="E48" s="136"/>
      <c r="F48" s="136"/>
    </row>
    <row r="49" spans="1:9" x14ac:dyDescent="0.25">
      <c r="A49" s="7" t="str">
        <v>Mg</v>
      </c>
      <c r="B49" s="95">
        <f t="shared" ref="B49:B58" si="6">B48+1</f>
        <v>3</v>
      </c>
      <c r="C49" s="96" t="str">
        <v>K</v>
      </c>
      <c r="D49" s="135" t="str">
        <f t="shared" si="5"/>
        <v>INSERT INTO Elemento(ElementoID, Nome) VALUES (3, 'K');</v>
      </c>
      <c r="E49" s="136"/>
      <c r="F49" s="136"/>
    </row>
    <row r="50" spans="1:9" x14ac:dyDescent="0.25">
      <c r="A50" s="7" t="str">
        <v>CaCO3</v>
      </c>
      <c r="B50" s="95">
        <f t="shared" si="6"/>
        <v>4</v>
      </c>
      <c r="C50" s="96" t="str">
        <v>Mg</v>
      </c>
      <c r="D50" s="135" t="str">
        <f t="shared" si="5"/>
        <v>INSERT INTO Elemento(ElementoID, Nome) VALUES (4, 'Mg');</v>
      </c>
      <c r="E50" s="136"/>
      <c r="F50" s="136"/>
    </row>
    <row r="51" spans="1:9" x14ac:dyDescent="0.25">
      <c r="A51" s="7" t="str">
        <v>Bacillus pumilus</v>
      </c>
      <c r="B51" s="95">
        <f t="shared" si="6"/>
        <v>5</v>
      </c>
      <c r="C51" s="96" t="str">
        <v>CaCO3</v>
      </c>
      <c r="D51" s="135" t="str">
        <f t="shared" si="5"/>
        <v>INSERT INTO Elemento(ElementoID, Nome) VALUES (5, 'CaCO3');</v>
      </c>
      <c r="E51" s="136"/>
      <c r="F51" s="136"/>
    </row>
    <row r="52" spans="1:9" x14ac:dyDescent="0.25">
      <c r="A52" s="7" t="str">
        <v>Ácidos gordos (na forma de sais de potássio)</v>
      </c>
      <c r="B52" s="95">
        <f t="shared" si="6"/>
        <v>6</v>
      </c>
      <c r="C52" s="96" t="str">
        <v>Bacillus pumilus</v>
      </c>
      <c r="D52" s="135" t="str">
        <f t="shared" si="5"/>
        <v>INSERT INTO Elemento(ElementoID, Nome) VALUES (6, 'Bacillus pumilus');</v>
      </c>
      <c r="E52" s="136"/>
      <c r="F52" s="136"/>
    </row>
    <row r="53" spans="1:9" x14ac:dyDescent="0.25">
      <c r="A53" s="7" t="str">
        <v>Terpenóides</v>
      </c>
      <c r="B53" s="95">
        <f t="shared" si="6"/>
        <v>7</v>
      </c>
      <c r="C53" s="96" t="str">
        <v>Ácidos gordos (na forma de sais de potássio)</v>
      </c>
      <c r="D53" s="135" t="str">
        <f t="shared" si="5"/>
        <v>INSERT INTO Elemento(ElementoID, Nome) VALUES (7, 'Ácidos gordos (na forma de sais de potássio)');</v>
      </c>
      <c r="E53" s="136"/>
      <c r="F53" s="136"/>
    </row>
    <row r="54" spans="1:9" x14ac:dyDescent="0.25">
      <c r="A54" s="7" t="str" cm="1">
        <f t="array" ref="A54:A56">_xlfn.UNIQUE(H4:H9)</f>
        <v>Mg</v>
      </c>
      <c r="B54" s="95">
        <f t="shared" si="6"/>
        <v>8</v>
      </c>
      <c r="C54" s="96" t="str">
        <v>Terpenóides</v>
      </c>
      <c r="D54" s="135" t="str">
        <f t="shared" si="5"/>
        <v>INSERT INTO Elemento(ElementoID, Nome) VALUES (8, 'Terpenóides');</v>
      </c>
      <c r="E54" s="136"/>
      <c r="F54" s="136"/>
    </row>
    <row r="55" spans="1:9" x14ac:dyDescent="0.25">
      <c r="A55" s="7" t="str">
        <v>S</v>
      </c>
      <c r="B55" s="95">
        <f t="shared" si="6"/>
        <v>9</v>
      </c>
      <c r="C55" s="96" t="str">
        <v>MgCO3</v>
      </c>
      <c r="D55" s="135" t="str">
        <f t="shared" si="5"/>
        <v>INSERT INTO Elemento(ElementoID, Nome) VALUES (9, 'MgCO3');</v>
      </c>
      <c r="E55" s="136"/>
      <c r="F55" s="136"/>
    </row>
    <row r="56" spans="1:9" x14ac:dyDescent="0.25">
      <c r="A56" s="7" t="str">
        <v>MgCO3</v>
      </c>
      <c r="B56" s="95">
        <f t="shared" si="6"/>
        <v>10</v>
      </c>
      <c r="C56" s="96" t="str">
        <v>Mn</v>
      </c>
      <c r="D56" s="135" t="str">
        <f t="shared" si="5"/>
        <v>INSERT INTO Elemento(ElementoID, Nome) VALUES (10, 'Mn');</v>
      </c>
      <c r="E56" s="136"/>
      <c r="F56" s="136"/>
    </row>
    <row r="57" spans="1:9" x14ac:dyDescent="0.25">
      <c r="A57" s="7" t="s">
        <v>162</v>
      </c>
      <c r="B57" s="95">
        <f t="shared" si="6"/>
        <v>11</v>
      </c>
      <c r="C57" s="96" t="str">
        <v>MgO</v>
      </c>
      <c r="D57" s="135" t="str">
        <f t="shared" si="5"/>
        <v>INSERT INTO Elemento(ElementoID, Nome) VALUES (11, 'MgO');</v>
      </c>
      <c r="E57" s="136"/>
      <c r="F57" s="136"/>
    </row>
    <row r="58" spans="1:9" ht="15.75" thickBot="1" x14ac:dyDescent="0.3">
      <c r="A58" s="7" t="s">
        <v>173</v>
      </c>
      <c r="B58" s="97">
        <f t="shared" si="6"/>
        <v>12</v>
      </c>
      <c r="C58" s="98" t="str">
        <v>B</v>
      </c>
      <c r="D58" s="135" t="str">
        <f t="shared" si="5"/>
        <v>INSERT INTO Elemento(ElementoID, Nome) VALUES (12, 'B');</v>
      </c>
      <c r="E58" s="136"/>
      <c r="F58" s="136"/>
    </row>
    <row r="59" spans="1:9" x14ac:dyDescent="0.25">
      <c r="A59" s="7" t="s">
        <v>161</v>
      </c>
    </row>
    <row r="61" spans="1:9" x14ac:dyDescent="0.25">
      <c r="A61" s="143" t="s">
        <v>275</v>
      </c>
      <c r="B61" s="143"/>
      <c r="C61" s="143"/>
    </row>
    <row r="62" spans="1:9" x14ac:dyDescent="0.25">
      <c r="A62" s="99" t="s">
        <v>276</v>
      </c>
      <c r="B62" s="99" t="s">
        <v>271</v>
      </c>
      <c r="C62" s="99" t="s">
        <v>196</v>
      </c>
    </row>
    <row r="63" spans="1:9" x14ac:dyDescent="0.25">
      <c r="A63" s="99" cm="1">
        <f t="array" ref="A63">_xlfn.XLOOKUP(F2,_xlfn.ANCHORARRAY($C$47),$B$47:$B$58,0,0)</f>
        <v>1</v>
      </c>
      <c r="B63" s="99" cm="1">
        <f t="array" ref="B63">_xlfn.XLOOKUP(A2,_xlfn.ANCHORARRAY($A$16),$B$16:$B$26,0,0)</f>
        <v>1</v>
      </c>
      <c r="C63" s="100">
        <f>G2</f>
        <v>0.2</v>
      </c>
      <c r="D63" s="133" t="str">
        <f>"INSERT INTO FatorProducao_Elemento(ElementoID, FatorProducaoID, Quantidade) VALUES ("&amp;A63&amp;", "&amp;B63&amp;", "&amp;SUBSTITUTE(C63,",",".")&amp;");"</f>
        <v>INSERT INTO FatorProducao_Elemento(ElementoID, FatorProducaoID, Quantidade) VALUES (1, 1, 0.2);</v>
      </c>
      <c r="E63" s="134"/>
      <c r="F63" s="134"/>
      <c r="G63" s="134"/>
      <c r="H63" s="134"/>
      <c r="I63" s="105">
        <v>6</v>
      </c>
    </row>
    <row r="64" spans="1:9" x14ac:dyDescent="0.25">
      <c r="A64" s="99" cm="1">
        <f t="array" ref="A64">_xlfn.XLOOKUP(F3,_xlfn.ANCHORARRAY($C$47),$B$47:$B$58,0,0)</f>
        <v>2</v>
      </c>
      <c r="B64" s="99" cm="1">
        <f t="array" ref="B64">_xlfn.XLOOKUP(A3,_xlfn.ANCHORARRAY($A$16),$B$16:$B$26,0,0)</f>
        <v>2</v>
      </c>
      <c r="C64" s="100">
        <f t="shared" ref="C64:C73" si="7">G3</f>
        <v>0.8</v>
      </c>
      <c r="D64" s="133" t="str">
        <f t="shared" ref="D64:D83" si="8">"INSERT INTO FatorProducao_Elemento(ElementoID, FatorProducaoID, Quantidade) VALUES ("&amp;A64&amp;", "&amp;B64&amp;", "&amp;SUBSTITUTE(C64,",",".")&amp;");"</f>
        <v>INSERT INTO FatorProducao_Elemento(ElementoID, FatorProducaoID, Quantidade) VALUES (2, 2, 0.8);</v>
      </c>
      <c r="E64" s="134"/>
      <c r="F64" s="134"/>
      <c r="G64" s="134"/>
      <c r="H64" s="134"/>
    </row>
    <row r="65" spans="1:8" x14ac:dyDescent="0.25">
      <c r="A65" s="99" cm="1">
        <f t="array" ref="A65">_xlfn.XLOOKUP(F4,_xlfn.ANCHORARRAY($C$47),$B$47:$B$58,0,0)</f>
        <v>3</v>
      </c>
      <c r="B65" s="99" cm="1">
        <f t="array" ref="B65">_xlfn.XLOOKUP(A4,_xlfn.ANCHORARRAY($A$16),$B$16:$B$26,0,0)</f>
        <v>3</v>
      </c>
      <c r="C65" s="100">
        <f t="shared" si="7"/>
        <v>0.249</v>
      </c>
      <c r="D65" s="133" t="str">
        <f t="shared" si="8"/>
        <v>INSERT INTO FatorProducao_Elemento(ElementoID, FatorProducaoID, Quantidade) VALUES (3, 3, 0.249);</v>
      </c>
      <c r="E65" s="134"/>
      <c r="F65" s="134"/>
      <c r="G65" s="134"/>
      <c r="H65" s="134"/>
    </row>
    <row r="66" spans="1:8" x14ac:dyDescent="0.25">
      <c r="A66" s="99" cm="1">
        <f t="array" ref="A66">_xlfn.XLOOKUP(F5,_xlfn.ANCHORARRAY($C$47),$B$47:$B$58,0,0)</f>
        <v>4</v>
      </c>
      <c r="B66" s="99" cm="1">
        <f t="array" ref="B66">_xlfn.XLOOKUP(A5,_xlfn.ANCHORARRAY($A$16),$B$16:$B$26,0,0)</f>
        <v>4</v>
      </c>
      <c r="C66" s="100">
        <f t="shared" si="7"/>
        <v>0.151</v>
      </c>
      <c r="D66" s="133" t="str">
        <f t="shared" si="8"/>
        <v>INSERT INTO FatorProducao_Elemento(ElementoID, FatorProducaoID, Quantidade) VALUES (4, 4, 0.151);</v>
      </c>
      <c r="E66" s="134"/>
      <c r="F66" s="134"/>
      <c r="G66" s="134"/>
      <c r="H66" s="134"/>
    </row>
    <row r="67" spans="1:8" x14ac:dyDescent="0.25">
      <c r="A67" s="99" cm="1">
        <f t="array" ref="A67">_xlfn.XLOOKUP(F6,_xlfn.ANCHORARRAY($C$47),$B$47:$B$58,0,0)</f>
        <v>4</v>
      </c>
      <c r="B67" s="99" cm="1">
        <f t="array" ref="B67">_xlfn.XLOOKUP(A6,_xlfn.ANCHORARRAY($A$16),$B$16:$B$26,0,0)</f>
        <v>5</v>
      </c>
      <c r="C67" s="100">
        <f t="shared" si="7"/>
        <v>0.09</v>
      </c>
      <c r="D67" s="133" t="str">
        <f t="shared" si="8"/>
        <v>INSERT INTO FatorProducao_Elemento(ElementoID, FatorProducaoID, Quantidade) VALUES (4, 5, 0.09);</v>
      </c>
      <c r="E67" s="134"/>
      <c r="F67" s="134"/>
      <c r="G67" s="134"/>
      <c r="H67" s="134"/>
    </row>
    <row r="68" spans="1:8" x14ac:dyDescent="0.25">
      <c r="A68" s="99" cm="1">
        <f t="array" ref="A68">_xlfn.XLOOKUP(F7,_xlfn.ANCHORARRAY($C$47),$B$47:$B$58,0,0)</f>
        <v>4</v>
      </c>
      <c r="B68" s="99" cm="1">
        <f t="array" ref="B68">_xlfn.XLOOKUP(A7,_xlfn.ANCHORARRAY($A$16),$B$16:$B$26,0,0)</f>
        <v>6</v>
      </c>
      <c r="C68" s="100">
        <f t="shared" si="7"/>
        <v>9.6000000000000002E-2</v>
      </c>
      <c r="D68" s="133" t="str">
        <f t="shared" si="8"/>
        <v>INSERT INTO FatorProducao_Elemento(ElementoID, FatorProducaoID, Quantidade) VALUES (4, 6, 0.096);</v>
      </c>
      <c r="E68" s="134"/>
      <c r="F68" s="134"/>
      <c r="G68" s="134"/>
      <c r="H68" s="134"/>
    </row>
    <row r="69" spans="1:8" x14ac:dyDescent="0.25">
      <c r="A69" s="99" cm="1">
        <f t="array" ref="A69">_xlfn.XLOOKUP(F8,_xlfn.ANCHORARRAY($C$47),$B$47:$B$58,0,0)</f>
        <v>5</v>
      </c>
      <c r="B69" s="99" cm="1">
        <f t="array" ref="B69">_xlfn.XLOOKUP(A8,_xlfn.ANCHORARRAY($A$16),$B$16:$B$26,0,0)</f>
        <v>7</v>
      </c>
      <c r="C69" s="100">
        <f t="shared" si="7"/>
        <v>0.88200000000000001</v>
      </c>
      <c r="D69" s="133" t="str">
        <f t="shared" si="8"/>
        <v>INSERT INTO FatorProducao_Elemento(ElementoID, FatorProducaoID, Quantidade) VALUES (5, 7, 0.882);</v>
      </c>
      <c r="E69" s="134"/>
      <c r="F69" s="134"/>
      <c r="G69" s="134"/>
      <c r="H69" s="134"/>
    </row>
    <row r="70" spans="1:8" x14ac:dyDescent="0.25">
      <c r="A70" s="99" cm="1">
        <f t="array" ref="A70">_xlfn.XLOOKUP(F9,_xlfn.ANCHORARRAY($C$47),$B$47:$B$58,0,0)</f>
        <v>5</v>
      </c>
      <c r="B70" s="99" cm="1">
        <f t="array" ref="B70">_xlfn.XLOOKUP(A9,_xlfn.ANCHORARRAY($A$16),$B$16:$B$26,0,0)</f>
        <v>8</v>
      </c>
      <c r="C70" s="100">
        <f t="shared" si="7"/>
        <v>0.71699999999999997</v>
      </c>
      <c r="D70" s="133" t="str">
        <f t="shared" si="8"/>
        <v>INSERT INTO FatorProducao_Elemento(ElementoID, FatorProducaoID, Quantidade) VALUES (5, 8, 0.717);</v>
      </c>
      <c r="E70" s="134"/>
      <c r="F70" s="134"/>
      <c r="G70" s="134"/>
      <c r="H70" s="134"/>
    </row>
    <row r="71" spans="1:8" x14ac:dyDescent="0.25">
      <c r="A71" s="99" cm="1">
        <f t="array" ref="A71">_xlfn.XLOOKUP(F10,_xlfn.ANCHORARRAY($C$47),$B$47:$B$58,0,0)</f>
        <v>6</v>
      </c>
      <c r="B71" s="99" cm="1">
        <f t="array" ref="B71">_xlfn.XLOOKUP(A10,_xlfn.ANCHORARRAY($A$16),$B$16:$B$26,0,0)</f>
        <v>9</v>
      </c>
      <c r="C71" s="100">
        <f t="shared" si="7"/>
        <v>0.97740000000000005</v>
      </c>
      <c r="D71" s="133" t="str">
        <f t="shared" si="8"/>
        <v>INSERT INTO FatorProducao_Elemento(ElementoID, FatorProducaoID, Quantidade) VALUES (6, 9, 0.9774);</v>
      </c>
      <c r="E71" s="134"/>
      <c r="F71" s="134"/>
      <c r="G71" s="134"/>
      <c r="H71" s="134"/>
    </row>
    <row r="72" spans="1:8" x14ac:dyDescent="0.25">
      <c r="A72" s="99" cm="1">
        <f t="array" ref="A72">_xlfn.XLOOKUP(F11,_xlfn.ANCHORARRAY($C$47),$B$47:$B$58,0,0)</f>
        <v>7</v>
      </c>
      <c r="B72" s="99" cm="1">
        <f t="array" ref="B72">_xlfn.XLOOKUP(A11,_xlfn.ANCHORARRAY($A$16),$B$16:$B$26,0,0)</f>
        <v>10</v>
      </c>
      <c r="C72" s="100">
        <f t="shared" si="7"/>
        <v>0.47799999999999998</v>
      </c>
      <c r="D72" s="133" t="str">
        <f t="shared" si="8"/>
        <v>INSERT INTO FatorProducao_Elemento(ElementoID, FatorProducaoID, Quantidade) VALUES (7, 10, 0.478);</v>
      </c>
      <c r="E72" s="134"/>
      <c r="F72" s="134"/>
      <c r="G72" s="134"/>
      <c r="H72" s="134"/>
    </row>
    <row r="73" spans="1:8" x14ac:dyDescent="0.25">
      <c r="A73" s="99" cm="1">
        <f t="array" ref="A73">_xlfn.XLOOKUP(F12,_xlfn.ANCHORARRAY($C$47),$B$47:$B$58,0,0)</f>
        <v>8</v>
      </c>
      <c r="B73" s="99" cm="1">
        <f t="array" ref="B73">_xlfn.XLOOKUP(A12,_xlfn.ANCHORARRAY($A$16),$B$16:$B$26,0,0)</f>
        <v>11</v>
      </c>
      <c r="C73" s="100">
        <f t="shared" si="7"/>
        <v>0.14419999999999999</v>
      </c>
      <c r="D73" s="133" t="str">
        <f t="shared" si="8"/>
        <v>INSERT INTO FatorProducao_Elemento(ElementoID, FatorProducaoID, Quantidade) VALUES (8, 11, 0.1442);</v>
      </c>
      <c r="E73" s="134"/>
      <c r="F73" s="134"/>
      <c r="G73" s="134"/>
      <c r="H73" s="134"/>
    </row>
    <row r="74" spans="1:8" x14ac:dyDescent="0.25">
      <c r="A74" s="99" cm="1">
        <f t="array" ref="A74">_xlfn.XLOOKUP(H4,_xlfn.ANCHORARRAY($C$47),$B$47:$B$58,0,0)</f>
        <v>4</v>
      </c>
      <c r="B74" s="99" cm="1">
        <f t="array" ref="B74">_xlfn.XLOOKUP(A4,_xlfn.ANCHORARRAY($A$16),B16:B26,0,0)</f>
        <v>3</v>
      </c>
      <c r="C74" s="100">
        <f>I4</f>
        <v>0.06</v>
      </c>
      <c r="D74" s="133" t="str">
        <f t="shared" si="8"/>
        <v>INSERT INTO FatorProducao_Elemento(ElementoID, FatorProducaoID, Quantidade) VALUES (4, 3, 0.06);</v>
      </c>
      <c r="E74" s="134"/>
      <c r="F74" s="134"/>
      <c r="G74" s="134"/>
      <c r="H74" s="134"/>
    </row>
    <row r="75" spans="1:8" x14ac:dyDescent="0.25">
      <c r="A75" s="99" cm="1">
        <f t="array" ref="A75">_xlfn.XLOOKUP(H5,_xlfn.ANCHORARRAY($C$47),$B$47:$B$58,0,0)</f>
        <v>2</v>
      </c>
      <c r="B75" s="99" cm="1">
        <f t="array" ref="B75">_xlfn.XLOOKUP(A5,_xlfn.ANCHORARRAY($A$16),B17:B27,0,0)</f>
        <v>5</v>
      </c>
      <c r="C75" s="100">
        <f t="shared" ref="C75:C78" si="9">I5</f>
        <v>0.20799999999999999</v>
      </c>
      <c r="D75" s="133" t="str">
        <f t="shared" si="8"/>
        <v>INSERT INTO FatorProducao_Elemento(ElementoID, FatorProducaoID, Quantidade) VALUES (2, 5, 0.208);</v>
      </c>
      <c r="E75" s="134"/>
      <c r="F75" s="134"/>
      <c r="G75" s="134"/>
      <c r="H75" s="134"/>
    </row>
    <row r="76" spans="1:8" x14ac:dyDescent="0.25">
      <c r="A76" s="99" cm="1">
        <f t="array" ref="A76">_xlfn.XLOOKUP(H6,_xlfn.ANCHORARRAY($C$47),$B$47:$B$58,0,0)</f>
        <v>2</v>
      </c>
      <c r="B76" s="99" cm="1">
        <f t="array" ref="B76">_xlfn.XLOOKUP(A6,_xlfn.ANCHORARRAY($A$16),B18:B28,0,0)</f>
        <v>7</v>
      </c>
      <c r="C76" s="100">
        <f t="shared" si="9"/>
        <v>0.124</v>
      </c>
      <c r="D76" s="133" t="str">
        <f t="shared" si="8"/>
        <v>INSERT INTO FatorProducao_Elemento(ElementoID, FatorProducaoID, Quantidade) VALUES (2, 7, 0.124);</v>
      </c>
      <c r="E76" s="134"/>
      <c r="F76" s="134"/>
      <c r="G76" s="134"/>
      <c r="H76" s="134"/>
    </row>
    <row r="77" spans="1:8" x14ac:dyDescent="0.25">
      <c r="A77" s="99" cm="1">
        <f t="array" ref="A77">_xlfn.XLOOKUP(H7,_xlfn.ANCHORARRAY($C$47),$B$47:$B$58,0,0)</f>
        <v>2</v>
      </c>
      <c r="B77" s="99" cm="1">
        <f t="array" ref="B77">_xlfn.XLOOKUP(A7,_xlfn.ANCHORARRAY($A$16),B19:B29,0,0)</f>
        <v>9</v>
      </c>
      <c r="C77" s="100">
        <f t="shared" si="9"/>
        <v>0.13</v>
      </c>
      <c r="D77" s="133" t="str">
        <f t="shared" si="8"/>
        <v>INSERT INTO FatorProducao_Elemento(ElementoID, FatorProducaoID, Quantidade) VALUES (2, 9, 0.13);</v>
      </c>
      <c r="E77" s="134"/>
      <c r="F77" s="134"/>
      <c r="G77" s="134"/>
      <c r="H77" s="134"/>
    </row>
    <row r="78" spans="1:8" x14ac:dyDescent="0.25">
      <c r="A78" s="99" cm="1">
        <f t="array" ref="A78">_xlfn.XLOOKUP(H8,_xlfn.ANCHORARRAY($C$47),$B$47:$B$58,0,0)</f>
        <v>9</v>
      </c>
      <c r="B78" s="99" cm="1">
        <f t="array" ref="B78">_xlfn.XLOOKUP(A8,_xlfn.ANCHORARRAY($A$16),B20:B30,0,0)</f>
        <v>11</v>
      </c>
      <c r="C78" s="100">
        <f t="shared" si="9"/>
        <v>1.9E-2</v>
      </c>
      <c r="D78" s="133" t="str">
        <f t="shared" si="8"/>
        <v>INSERT INTO FatorProducao_Elemento(ElementoID, FatorProducaoID, Quantidade) VALUES (9, 11, 0.019);</v>
      </c>
      <c r="E78" s="134"/>
      <c r="F78" s="134"/>
      <c r="G78" s="134"/>
      <c r="H78" s="134"/>
    </row>
    <row r="79" spans="1:8" x14ac:dyDescent="0.25">
      <c r="A79" s="99" cm="1">
        <f t="array" ref="A79">_xlfn.XLOOKUP(H9,_xlfn.ANCHORARRAY($C$47),$B$47:$B$58,0,0)</f>
        <v>9</v>
      </c>
      <c r="B79" s="99" cm="1">
        <f t="array" ref="B79">_xlfn.XLOOKUP(A9,_xlfn.ANCHORARRAY($A$16),$B$16:$B$26,0,0)</f>
        <v>8</v>
      </c>
      <c r="C79" s="100">
        <f>I9</f>
        <v>0.14799999999999999</v>
      </c>
      <c r="D79" s="133" t="str">
        <f t="shared" si="8"/>
        <v>INSERT INTO FatorProducao_Elemento(ElementoID, FatorProducaoID, Quantidade) VALUES (9, 8, 0.148);</v>
      </c>
      <c r="E79" s="134"/>
      <c r="F79" s="134"/>
      <c r="G79" s="134"/>
      <c r="H79" s="134"/>
    </row>
    <row r="80" spans="1:8" x14ac:dyDescent="0.25">
      <c r="A80" s="99" cm="1">
        <f t="array" ref="A80">_xlfn.XLOOKUP(J4,_xlfn.ANCHORARRAY($C$47),$B$47:$B$58,0,0)</f>
        <v>2</v>
      </c>
      <c r="B80" s="99" cm="1">
        <f t="array" ref="B80">_xlfn.XLOOKUP(A4,_xlfn.ANCHORARRAY($A$16),$B$16:$B$26,0,0)</f>
        <v>3</v>
      </c>
      <c r="C80" s="100">
        <f>K4</f>
        <v>0.17599999999999999</v>
      </c>
      <c r="D80" s="133" t="str">
        <f t="shared" si="8"/>
        <v>INSERT INTO FatorProducao_Elemento(ElementoID, FatorProducaoID, Quantidade) VALUES (2, 3, 0.176);</v>
      </c>
      <c r="E80" s="134"/>
      <c r="F80" s="134"/>
      <c r="G80" s="134"/>
      <c r="H80" s="134"/>
    </row>
    <row r="81" spans="1:8" x14ac:dyDescent="0.25">
      <c r="A81" s="99" cm="1">
        <f t="array" ref="A81">_xlfn.XLOOKUP(J6,_xlfn.ANCHORARRAY($C$47),$B$47:$B$58,0,0)</f>
        <v>12</v>
      </c>
      <c r="B81" s="99" cm="1">
        <f t="array" ref="B81">_xlfn.XLOOKUP(A6,_xlfn.ANCHORARRAY($A$16),$B$16:$B$26,0,0)</f>
        <v>5</v>
      </c>
      <c r="C81" s="100">
        <f>K6</f>
        <v>8.9999999999999993E-3</v>
      </c>
      <c r="D81" s="133" t="str">
        <f t="shared" si="8"/>
        <v>INSERT INTO FatorProducao_Elemento(ElementoID, FatorProducaoID, Quantidade) VALUES (12, 5, 0.009);</v>
      </c>
      <c r="E81" s="134"/>
      <c r="F81" s="134"/>
      <c r="G81" s="134"/>
      <c r="H81" s="134"/>
    </row>
    <row r="82" spans="1:8" x14ac:dyDescent="0.25">
      <c r="A82" s="99" cm="1">
        <f t="array" ref="A82">_xlfn.XLOOKUP(J9,_xlfn.ANCHORARRAY($C$47),$B$47:$B$58,0,0)</f>
        <v>11</v>
      </c>
      <c r="B82" s="99" cm="1">
        <f t="array" ref="B82">_xlfn.XLOOKUP(A9,_xlfn.ANCHORARRAY($A$16),$B$16:$B$26,0,0)</f>
        <v>8</v>
      </c>
      <c r="C82" s="100">
        <f>K9</f>
        <v>7.9000000000000001E-2</v>
      </c>
      <c r="D82" s="133" t="str">
        <f t="shared" si="8"/>
        <v>INSERT INTO FatorProducao_Elemento(ElementoID, FatorProducaoID, Quantidade) VALUES (11, 8, 0.079);</v>
      </c>
      <c r="E82" s="134"/>
      <c r="F82" s="134"/>
      <c r="G82" s="134"/>
      <c r="H82" s="134"/>
    </row>
    <row r="83" spans="1:8" x14ac:dyDescent="0.25">
      <c r="A83" s="99" cm="1">
        <f t="array" ref="A83">_xlfn.XLOOKUP(L6,_xlfn.ANCHORARRAY($C$47),$B$47:$B$58,0,0)</f>
        <v>10</v>
      </c>
      <c r="B83" s="99" cm="1">
        <f t="array" ref="B83">_xlfn.XLOOKUP(A6,_xlfn.ANCHORARRAY($A$16),$B$16:$B$26,0,0)</f>
        <v>5</v>
      </c>
      <c r="C83" s="100">
        <f>M6</f>
        <v>0.01</v>
      </c>
      <c r="D83" s="133" t="str">
        <f t="shared" si="8"/>
        <v>INSERT INTO FatorProducao_Elemento(ElementoID, FatorProducaoID, Quantidade) VALUES (10, 5, 0.01);</v>
      </c>
      <c r="E83" s="134"/>
      <c r="F83" s="134"/>
      <c r="G83" s="134"/>
      <c r="H83" s="134"/>
    </row>
    <row r="84" spans="1:8" ht="15.75" thickBot="1" x14ac:dyDescent="0.3">
      <c r="C84" s="4"/>
    </row>
    <row r="85" spans="1:8" x14ac:dyDescent="0.25">
      <c r="A85" s="110" t="s">
        <v>286</v>
      </c>
      <c r="B85" s="150" t="s">
        <v>282</v>
      </c>
      <c r="C85" s="151"/>
    </row>
    <row r="86" spans="1:8" x14ac:dyDescent="0.25">
      <c r="A86" s="7" t="str" cm="1">
        <f t="array" ref="A86:A91">_xlfn.UNIQUE(E2:E12)</f>
        <v>Fungicida</v>
      </c>
      <c r="B86" s="111" t="s">
        <v>283</v>
      </c>
      <c r="C86" s="112" t="s">
        <v>284</v>
      </c>
    </row>
    <row r="87" spans="1:8" x14ac:dyDescent="0.25">
      <c r="A87" s="7" t="str">
        <v>Adubo solo</v>
      </c>
      <c r="B87" s="113" t="str">
        <f>A86</f>
        <v>Fungicida</v>
      </c>
      <c r="C87" s="115">
        <v>1</v>
      </c>
      <c r="D87" s="149" t="str">
        <f>"INSERT INTO ViaAplicacao(ViaAplicacaoID, DesignacaoViaAplicacao) VALUES ("&amp;C87&amp;", '"&amp;B87&amp;"');"</f>
        <v>INSERT INTO ViaAplicacao(ViaAplicacaoID, DesignacaoViaAplicacao) VALUES (1, 'Fungicida');</v>
      </c>
      <c r="E87" s="149"/>
      <c r="F87" s="149"/>
      <c r="G87" s="149"/>
      <c r="H87" s="101">
        <v>7</v>
      </c>
    </row>
    <row r="88" spans="1:8" x14ac:dyDescent="0.25">
      <c r="A88" s="7" t="str">
        <v>Adubo foliar+Fertirrega</v>
      </c>
      <c r="B88" s="113" t="str">
        <f>A87</f>
        <v>Adubo solo</v>
      </c>
      <c r="C88" s="115">
        <f>1+C87</f>
        <v>2</v>
      </c>
      <c r="D88" s="149" t="str">
        <f t="shared" ref="D88:D93" si="10">"INSERT INTO ViaAplicacao(ViaAplicacaoID, DesignacaoViaAplicacao) VALUES ("&amp;C88&amp;", '"&amp;B88&amp;"');"</f>
        <v>INSERT INTO ViaAplicacao(ViaAplicacaoID, DesignacaoViaAplicacao) VALUES (2, 'Adubo solo');</v>
      </c>
      <c r="E88" s="149"/>
      <c r="F88" s="149"/>
      <c r="G88" s="149"/>
    </row>
    <row r="89" spans="1:8" x14ac:dyDescent="0.25">
      <c r="A89" s="7" t="str">
        <v>Adubo foliar</v>
      </c>
      <c r="B89" s="113" t="str" cm="1">
        <f t="array" ref="B89:B90">_xlfn.TEXTSPLIT(A88,,"+")</f>
        <v>Adubo foliar</v>
      </c>
      <c r="C89" s="115">
        <f t="shared" ref="C89:C93" si="11">1+C88</f>
        <v>3</v>
      </c>
      <c r="D89" s="149" t="str">
        <f t="shared" si="10"/>
        <v>INSERT INTO ViaAplicacao(ViaAplicacaoID, DesignacaoViaAplicacao) VALUES (3, 'Adubo foliar');</v>
      </c>
      <c r="E89" s="149"/>
      <c r="F89" s="149"/>
      <c r="G89" s="149"/>
    </row>
    <row r="90" spans="1:8" x14ac:dyDescent="0.25">
      <c r="A90" s="7" t="str">
        <v>Correção solo</v>
      </c>
      <c r="B90" s="113" t="str">
        <v>Fertirrega</v>
      </c>
      <c r="C90" s="115">
        <f t="shared" si="11"/>
        <v>4</v>
      </c>
      <c r="D90" s="149" t="str">
        <f t="shared" si="10"/>
        <v>INSERT INTO ViaAplicacao(ViaAplicacaoID, DesignacaoViaAplicacao) VALUES (4, 'Fertirrega');</v>
      </c>
      <c r="E90" s="149"/>
      <c r="F90" s="149"/>
      <c r="G90" s="149"/>
    </row>
    <row r="91" spans="1:8" x14ac:dyDescent="0.25">
      <c r="A91" s="7" t="str">
        <v>Insecticida</v>
      </c>
      <c r="B91" s="113" t="str">
        <f>A89</f>
        <v>Adubo foliar</v>
      </c>
      <c r="C91" s="115">
        <f t="shared" si="11"/>
        <v>5</v>
      </c>
      <c r="D91" s="149" t="str">
        <f t="shared" si="10"/>
        <v>INSERT INTO ViaAplicacao(ViaAplicacaoID, DesignacaoViaAplicacao) VALUES (5, 'Adubo foliar');</v>
      </c>
      <c r="E91" s="149"/>
      <c r="F91" s="149"/>
      <c r="G91" s="149"/>
    </row>
    <row r="92" spans="1:8" x14ac:dyDescent="0.25">
      <c r="B92" s="113" t="str">
        <f>A90</f>
        <v>Correção solo</v>
      </c>
      <c r="C92" s="115">
        <f t="shared" si="11"/>
        <v>6</v>
      </c>
      <c r="D92" s="149" t="str">
        <f t="shared" si="10"/>
        <v>INSERT INTO ViaAplicacao(ViaAplicacaoID, DesignacaoViaAplicacao) VALUES (6, 'Correção solo');</v>
      </c>
      <c r="E92" s="149"/>
      <c r="F92" s="149"/>
      <c r="G92" s="149"/>
    </row>
    <row r="93" spans="1:8" ht="15.75" thickBot="1" x14ac:dyDescent="0.3">
      <c r="B93" s="114" t="str">
        <f>A91</f>
        <v>Insecticida</v>
      </c>
      <c r="C93" s="116">
        <f t="shared" si="11"/>
        <v>7</v>
      </c>
      <c r="D93" s="149" t="str">
        <f t="shared" si="10"/>
        <v>INSERT INTO ViaAplicacao(ViaAplicacaoID, DesignacaoViaAplicacao) VALUES (7, 'Insecticida');</v>
      </c>
      <c r="E93" s="149"/>
      <c r="F93" s="149"/>
      <c r="G93" s="149"/>
    </row>
    <row r="94" spans="1:8" ht="15.75" thickBot="1" x14ac:dyDescent="0.3"/>
    <row r="95" spans="1:8" x14ac:dyDescent="0.25">
      <c r="A95" s="147" t="s">
        <v>285</v>
      </c>
      <c r="B95" s="148"/>
    </row>
    <row r="96" spans="1:8" x14ac:dyDescent="0.25">
      <c r="A96" s="117" t="s">
        <v>284</v>
      </c>
      <c r="B96" s="118" t="s">
        <v>271</v>
      </c>
    </row>
    <row r="97" spans="1:7" x14ac:dyDescent="0.25">
      <c r="A97" s="119">
        <f>_xlfn.XLOOKUP(E2,$B$87:$B$93,$C$87:$C$93,0,0)</f>
        <v>1</v>
      </c>
      <c r="B97" s="120" cm="1">
        <f t="array" ref="B97">_xlfn.XLOOKUP(A2,_xlfn.ANCHORARRAY($A$16),$B$16:$B$26,0,0)</f>
        <v>1</v>
      </c>
      <c r="C97" s="154" t="str">
        <f>"INSERT INTO ViaAplicacao_FatorProdução(ViaAplicacaoID, FatorProducaoID) VALUES ("&amp;A97&amp;", "&amp;B97&amp;");"</f>
        <v>INSERT INTO ViaAplicacao_FatorProdução(ViaAplicacaoID, FatorProducaoID) VALUES (1, 1);</v>
      </c>
      <c r="D97" s="155"/>
      <c r="E97" s="155"/>
      <c r="F97" s="155"/>
      <c r="G97" s="103">
        <v>8</v>
      </c>
    </row>
    <row r="98" spans="1:7" x14ac:dyDescent="0.25">
      <c r="A98" s="119">
        <f t="shared" ref="A98:A107" si="12">_xlfn.XLOOKUP(E3,$B$87:$B$93,$C$87:$C$93,0,0)</f>
        <v>1</v>
      </c>
      <c r="B98" s="120" cm="1">
        <f t="array" ref="B98">_xlfn.XLOOKUP(A3,_xlfn.ANCHORARRAY($A$16),$B$16:$B$26,0,0)</f>
        <v>2</v>
      </c>
      <c r="C98" s="154" t="str">
        <f t="shared" ref="C98:C108" si="13">"INSERT INTO ViaAplicacao_FatorProdução(ViaAplicacaoID, FatorProducaoID) VALUES ("&amp;A98&amp;", "&amp;B98&amp;");"</f>
        <v>INSERT INTO ViaAplicacao_FatorProdução(ViaAplicacaoID, FatorProducaoID) VALUES (1, 2);</v>
      </c>
      <c r="D98" s="155"/>
      <c r="E98" s="155"/>
      <c r="F98" s="155"/>
    </row>
    <row r="99" spans="1:7" x14ac:dyDescent="0.25">
      <c r="A99" s="119">
        <f t="shared" si="12"/>
        <v>2</v>
      </c>
      <c r="B99" s="120" cm="1">
        <f t="array" ref="B99">_xlfn.XLOOKUP(A4,_xlfn.ANCHORARRAY($A$16),$B$16:$B$26,0,0)</f>
        <v>3</v>
      </c>
      <c r="C99" s="154" t="str">
        <f t="shared" si="13"/>
        <v>INSERT INTO ViaAplicacao_FatorProdução(ViaAplicacaoID, FatorProducaoID) VALUES (2, 3);</v>
      </c>
      <c r="D99" s="155"/>
      <c r="E99" s="155"/>
      <c r="F99" s="155"/>
    </row>
    <row r="100" spans="1:7" x14ac:dyDescent="0.25">
      <c r="A100" s="119">
        <f t="shared" si="12"/>
        <v>2</v>
      </c>
      <c r="B100" s="120" cm="1">
        <f t="array" ref="B100">_xlfn.XLOOKUP(A5,_xlfn.ANCHORARRAY($A$16),$B$16:$B$26,0,0)</f>
        <v>4</v>
      </c>
      <c r="C100" s="154" t="str">
        <f t="shared" si="13"/>
        <v>INSERT INTO ViaAplicacao_FatorProdução(ViaAplicacaoID, FatorProducaoID) VALUES (2, 4);</v>
      </c>
      <c r="D100" s="155"/>
      <c r="E100" s="155"/>
      <c r="F100" s="155"/>
    </row>
    <row r="101" spans="1:7" x14ac:dyDescent="0.25">
      <c r="A101" s="119">
        <v>3</v>
      </c>
      <c r="B101" s="120" cm="1">
        <f t="array" ref="B101">_xlfn.XLOOKUP(A6,_xlfn.ANCHORARRAY($A$16),$B$16:$B$26,0,0)</f>
        <v>5</v>
      </c>
      <c r="C101" s="154" t="str">
        <f t="shared" si="13"/>
        <v>INSERT INTO ViaAplicacao_FatorProdução(ViaAplicacaoID, FatorProducaoID) VALUES (3, 5);</v>
      </c>
      <c r="D101" s="155"/>
      <c r="E101" s="155"/>
      <c r="F101" s="155"/>
    </row>
    <row r="102" spans="1:7" x14ac:dyDescent="0.25">
      <c r="A102" s="119">
        <f t="shared" si="12"/>
        <v>3</v>
      </c>
      <c r="B102" s="120" cm="1">
        <f t="array" ref="B102">_xlfn.XLOOKUP(A7,_xlfn.ANCHORARRAY($A$16),$B$16:$B$26,0,0)</f>
        <v>6</v>
      </c>
      <c r="C102" s="154" t="str">
        <f t="shared" si="13"/>
        <v>INSERT INTO ViaAplicacao_FatorProdução(ViaAplicacaoID, FatorProducaoID) VALUES (3, 6);</v>
      </c>
      <c r="D102" s="155"/>
      <c r="E102" s="155"/>
      <c r="F102" s="155"/>
    </row>
    <row r="103" spans="1:7" x14ac:dyDescent="0.25">
      <c r="A103" s="119">
        <f t="shared" si="12"/>
        <v>6</v>
      </c>
      <c r="B103" s="120" cm="1">
        <f t="array" ref="B103">_xlfn.XLOOKUP(A8,_xlfn.ANCHORARRAY($A$16),$B$16:$B$26,0,0)</f>
        <v>7</v>
      </c>
      <c r="C103" s="154" t="str">
        <f t="shared" si="13"/>
        <v>INSERT INTO ViaAplicacao_FatorProdução(ViaAplicacaoID, FatorProducaoID) VALUES (6, 7);</v>
      </c>
      <c r="D103" s="155"/>
      <c r="E103" s="155"/>
      <c r="F103" s="155"/>
    </row>
    <row r="104" spans="1:7" x14ac:dyDescent="0.25">
      <c r="A104" s="119">
        <f t="shared" si="12"/>
        <v>6</v>
      </c>
      <c r="B104" s="120" cm="1">
        <f t="array" ref="B104">_xlfn.XLOOKUP(A9,_xlfn.ANCHORARRAY($A$16),$B$16:$B$26,0,0)</f>
        <v>8</v>
      </c>
      <c r="C104" s="154" t="str">
        <f t="shared" si="13"/>
        <v>INSERT INTO ViaAplicacao_FatorProdução(ViaAplicacaoID, FatorProducaoID) VALUES (6, 8);</v>
      </c>
      <c r="D104" s="155"/>
      <c r="E104" s="155"/>
      <c r="F104" s="155"/>
    </row>
    <row r="105" spans="1:7" x14ac:dyDescent="0.25">
      <c r="A105" s="119">
        <f t="shared" si="12"/>
        <v>1</v>
      </c>
      <c r="B105" s="120" cm="1">
        <f t="array" ref="B105">_xlfn.XLOOKUP(A10,_xlfn.ANCHORARRAY($A$16),$B$16:$B$26,0,0)</f>
        <v>9</v>
      </c>
      <c r="C105" s="154" t="str">
        <f t="shared" si="13"/>
        <v>INSERT INTO ViaAplicacao_FatorProdução(ViaAplicacaoID, FatorProducaoID) VALUES (1, 9);</v>
      </c>
      <c r="D105" s="155"/>
      <c r="E105" s="155"/>
      <c r="F105" s="155"/>
    </row>
    <row r="106" spans="1:7" x14ac:dyDescent="0.25">
      <c r="A106" s="119">
        <f t="shared" si="12"/>
        <v>7</v>
      </c>
      <c r="B106" s="120" cm="1">
        <f t="array" ref="B106">_xlfn.XLOOKUP(A11,_xlfn.ANCHORARRAY($A$16),$B$16:$B$26,0,0)</f>
        <v>10</v>
      </c>
      <c r="C106" s="154" t="str">
        <f t="shared" si="13"/>
        <v>INSERT INTO ViaAplicacao_FatorProdução(ViaAplicacaoID, FatorProducaoID) VALUES (7, 10);</v>
      </c>
      <c r="D106" s="155"/>
      <c r="E106" s="155"/>
      <c r="F106" s="155"/>
    </row>
    <row r="107" spans="1:7" x14ac:dyDescent="0.25">
      <c r="A107" s="119">
        <f t="shared" si="12"/>
        <v>7</v>
      </c>
      <c r="B107" s="120" cm="1">
        <f t="array" ref="B107">_xlfn.XLOOKUP(A12,_xlfn.ANCHORARRAY($A$16),$B$16:$B$26,0,0)</f>
        <v>11</v>
      </c>
      <c r="C107" s="154" t="str">
        <f t="shared" si="13"/>
        <v>INSERT INTO ViaAplicacao_FatorProdução(ViaAplicacaoID, FatorProducaoID) VALUES (7, 11);</v>
      </c>
      <c r="D107" s="155"/>
      <c r="E107" s="155"/>
      <c r="F107" s="155"/>
    </row>
    <row r="108" spans="1:7" ht="15.75" thickBot="1" x14ac:dyDescent="0.3">
      <c r="A108" s="121">
        <v>4</v>
      </c>
      <c r="B108" s="122">
        <v>5</v>
      </c>
      <c r="C108" s="154" t="str">
        <f t="shared" si="13"/>
        <v>INSERT INTO ViaAplicacao_FatorProdução(ViaAplicacaoID, FatorProducaoID) VALUES (4, 5);</v>
      </c>
      <c r="D108" s="155"/>
      <c r="E108" s="155"/>
      <c r="F108" s="155"/>
    </row>
    <row r="109" spans="1:7" x14ac:dyDescent="0.25">
      <c r="B109" s="7"/>
    </row>
  </sheetData>
  <mergeCells count="69">
    <mergeCell ref="C107:F107"/>
    <mergeCell ref="C108:F108"/>
    <mergeCell ref="C102:F102"/>
    <mergeCell ref="C103:F103"/>
    <mergeCell ref="C104:F104"/>
    <mergeCell ref="C105:F105"/>
    <mergeCell ref="C106:F106"/>
    <mergeCell ref="C97:F97"/>
    <mergeCell ref="C98:F98"/>
    <mergeCell ref="C99:F99"/>
    <mergeCell ref="C100:F100"/>
    <mergeCell ref="C101:F101"/>
    <mergeCell ref="A14:E14"/>
    <mergeCell ref="A95:B95"/>
    <mergeCell ref="D87:G87"/>
    <mergeCell ref="D88:G88"/>
    <mergeCell ref="D89:G89"/>
    <mergeCell ref="D90:G90"/>
    <mergeCell ref="D91:G91"/>
    <mergeCell ref="D92:G92"/>
    <mergeCell ref="D93:G93"/>
    <mergeCell ref="B85:C85"/>
    <mergeCell ref="B29:E29"/>
    <mergeCell ref="B30:E30"/>
    <mergeCell ref="B31:E31"/>
    <mergeCell ref="B32:E32"/>
    <mergeCell ref="B35:E35"/>
    <mergeCell ref="B36:E36"/>
    <mergeCell ref="A61:C61"/>
    <mergeCell ref="D63:H63"/>
    <mergeCell ref="D64:H64"/>
    <mergeCell ref="D65:H65"/>
    <mergeCell ref="D66:H66"/>
    <mergeCell ref="B44:F44"/>
    <mergeCell ref="B37:E37"/>
    <mergeCell ref="B38:E38"/>
    <mergeCell ref="B39:E39"/>
    <mergeCell ref="B42:F42"/>
    <mergeCell ref="B43:F43"/>
    <mergeCell ref="B46:C46"/>
    <mergeCell ref="D47:F47"/>
    <mergeCell ref="D48:F48"/>
    <mergeCell ref="D49:F49"/>
    <mergeCell ref="D50:F50"/>
    <mergeCell ref="D51:F51"/>
    <mergeCell ref="D52:F52"/>
    <mergeCell ref="D53:F53"/>
    <mergeCell ref="D54:F54"/>
    <mergeCell ref="D68:H68"/>
    <mergeCell ref="D67:H67"/>
    <mergeCell ref="D55:F55"/>
    <mergeCell ref="D56:F56"/>
    <mergeCell ref="D57:F57"/>
    <mergeCell ref="D58:F58"/>
    <mergeCell ref="D69:H69"/>
    <mergeCell ref="D70:H70"/>
    <mergeCell ref="D71:H71"/>
    <mergeCell ref="D72:H72"/>
    <mergeCell ref="D73:H73"/>
    <mergeCell ref="D74:H74"/>
    <mergeCell ref="D75:H75"/>
    <mergeCell ref="D76:H76"/>
    <mergeCell ref="D77:H77"/>
    <mergeCell ref="D83:H83"/>
    <mergeCell ref="D78:H78"/>
    <mergeCell ref="D79:H79"/>
    <mergeCell ref="D80:H80"/>
    <mergeCell ref="D81:H81"/>
    <mergeCell ref="D82:H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01B56-4BBE-4836-8DCB-B3AF8DABE0BB}">
  <dimension ref="A1:P32"/>
  <sheetViews>
    <sheetView tabSelected="1" workbookViewId="0">
      <selection activeCell="I12" sqref="I12"/>
    </sheetView>
  </sheetViews>
  <sheetFormatPr defaultRowHeight="15" x14ac:dyDescent="0.25"/>
  <cols>
    <col min="1" max="1" width="11" bestFit="1" customWidth="1"/>
    <col min="2" max="2" width="9.42578125" bestFit="1" customWidth="1"/>
    <col min="3" max="3" width="22.85546875" bestFit="1" customWidth="1"/>
    <col min="4" max="4" width="9.42578125" bestFit="1" customWidth="1"/>
    <col min="6" max="6" width="10.42578125" bestFit="1" customWidth="1"/>
    <col min="7" max="7" width="6.7109375" bestFit="1" customWidth="1"/>
    <col min="8" max="8" width="13.85546875" bestFit="1" customWidth="1"/>
    <col min="9" max="9" width="120.5703125" bestFit="1" customWidth="1"/>
  </cols>
  <sheetData>
    <row r="1" spans="1:16" ht="15.75" thickBot="1" x14ac:dyDescent="0.3">
      <c r="A1" s="69" t="s">
        <v>174</v>
      </c>
      <c r="B1" s="2" t="s">
        <v>135</v>
      </c>
      <c r="C1" s="69" t="s">
        <v>132</v>
      </c>
      <c r="D1" s="69" t="s">
        <v>248</v>
      </c>
      <c r="E1" s="2" t="s">
        <v>175</v>
      </c>
      <c r="F1" s="46" t="s">
        <v>268</v>
      </c>
    </row>
    <row r="2" spans="1:16" x14ac:dyDescent="0.25">
      <c r="A2" s="47">
        <v>101</v>
      </c>
      <c r="B2" t="s">
        <v>176</v>
      </c>
      <c r="C2" s="50" t="s">
        <v>177</v>
      </c>
      <c r="D2" s="51">
        <v>1.2</v>
      </c>
      <c r="E2" t="s">
        <v>178</v>
      </c>
      <c r="F2" s="56">
        <f>_xlfn.XLOOKUP(E2,Unidades!$C$3:$C$8,Unidades!$B$3:$B$8,0,0)</f>
        <v>4</v>
      </c>
      <c r="G2" s="8"/>
      <c r="H2" s="8"/>
      <c r="I2" s="43" t="str">
        <f>"INSERT INTO Parcela(ParcelaID, Designacao, Area, UnidadeID) VALUES ("&amp;A2&amp;", '"&amp;C2&amp;"', "&amp;SUBSTITUTE(D2,",",".")&amp;", "&amp;F2&amp;" );"</f>
        <v>INSERT INTO Parcela(ParcelaID, Designacao, Area, UnidadeID) VALUES (101, 'Campo da bouça', 1.2, 4 );</v>
      </c>
      <c r="J2" s="105">
        <v>2</v>
      </c>
    </row>
    <row r="3" spans="1:16" x14ac:dyDescent="0.25">
      <c r="A3" s="48">
        <v>102</v>
      </c>
      <c r="B3" t="s">
        <v>176</v>
      </c>
      <c r="C3" s="52" t="s">
        <v>179</v>
      </c>
      <c r="D3" s="53">
        <v>3</v>
      </c>
      <c r="E3" t="s">
        <v>178</v>
      </c>
      <c r="F3" s="56">
        <f>_xlfn.XLOOKUP(E3,Unidades!$C$3:$C$8,Unidades!$B$3:$B$8,0,0)</f>
        <v>4</v>
      </c>
      <c r="G3" s="8"/>
      <c r="H3" s="8"/>
      <c r="I3" s="43" t="str">
        <f t="shared" ref="I3:I8" si="0">"INSERT INTO Parcela(ParcelaID, Designacao, Area, UnidadeID) VALUES ("&amp;A3&amp;", '"&amp;C3&amp;"', "&amp;SUBSTITUTE(D3,",",".")&amp;", "&amp;F3&amp;" );"</f>
        <v>INSERT INTO Parcela(ParcelaID, Designacao, Area, UnidadeID) VALUES (102, 'Campo grande', 3, 4 );</v>
      </c>
    </row>
    <row r="4" spans="1:16" x14ac:dyDescent="0.25">
      <c r="A4" s="48">
        <v>103</v>
      </c>
      <c r="B4" t="s">
        <v>176</v>
      </c>
      <c r="C4" s="52" t="s">
        <v>180</v>
      </c>
      <c r="D4" s="53">
        <v>1.5</v>
      </c>
      <c r="E4" t="s">
        <v>178</v>
      </c>
      <c r="F4" s="56">
        <f>_xlfn.XLOOKUP(E4,Unidades!$C$3:$C$8,Unidades!$B$3:$B$8,0,0)</f>
        <v>4</v>
      </c>
      <c r="G4" s="8"/>
      <c r="H4" s="8"/>
      <c r="I4" s="43" t="str">
        <f t="shared" si="0"/>
        <v>INSERT INTO Parcela(ParcelaID, Designacao, Area, UnidadeID) VALUES (103, 'Campo do poço', 1.5, 4 );</v>
      </c>
    </row>
    <row r="5" spans="1:16" x14ac:dyDescent="0.25">
      <c r="A5" s="48">
        <v>104</v>
      </c>
      <c r="B5" t="s">
        <v>176</v>
      </c>
      <c r="C5" s="52" t="s">
        <v>181</v>
      </c>
      <c r="D5" s="53">
        <v>0.8</v>
      </c>
      <c r="E5" t="s">
        <v>178</v>
      </c>
      <c r="F5" s="56">
        <f>_xlfn.XLOOKUP(E5,Unidades!$C$3:$C$8,Unidades!$B$3:$B$8,0,0)</f>
        <v>4</v>
      </c>
      <c r="G5" s="8"/>
      <c r="H5" s="8"/>
      <c r="I5" s="43" t="str">
        <f t="shared" si="0"/>
        <v>INSERT INTO Parcela(ParcelaID, Designacao, Area, UnidadeID) VALUES (104, 'Lameiro da ponte', 0.8, 4 );</v>
      </c>
    </row>
    <row r="6" spans="1:16" x14ac:dyDescent="0.25">
      <c r="A6" s="48">
        <v>105</v>
      </c>
      <c r="B6" t="s">
        <v>176</v>
      </c>
      <c r="C6" s="52" t="s">
        <v>182</v>
      </c>
      <c r="D6" s="53">
        <v>1.1000000000000001</v>
      </c>
      <c r="E6" t="s">
        <v>178</v>
      </c>
      <c r="F6" s="56">
        <f>_xlfn.XLOOKUP(E6,Unidades!$C$3:$C$8,Unidades!$B$3:$B$8,0,0)</f>
        <v>4</v>
      </c>
      <c r="G6" s="8"/>
      <c r="H6" s="8"/>
      <c r="I6" s="43" t="str">
        <f t="shared" si="0"/>
        <v>INSERT INTO Parcela(ParcelaID, Designacao, Area, UnidadeID) VALUES (105, 'Lameiro do moinho', 1.1, 4 );</v>
      </c>
    </row>
    <row r="7" spans="1:16" x14ac:dyDescent="0.25">
      <c r="A7" s="48">
        <v>106</v>
      </c>
      <c r="B7" t="s">
        <v>176</v>
      </c>
      <c r="C7" s="52" t="s">
        <v>218</v>
      </c>
      <c r="D7" s="53">
        <v>0.3</v>
      </c>
      <c r="E7" t="s">
        <v>178</v>
      </c>
      <c r="F7" s="56">
        <f>_xlfn.XLOOKUP(E7,Unidades!$C$3:$C$8,Unidades!$B$3:$B$8,0,0)</f>
        <v>4</v>
      </c>
      <c r="G7" s="8"/>
      <c r="H7" s="8"/>
      <c r="I7" s="43" t="str">
        <f t="shared" si="0"/>
        <v>INSERT INTO Parcela(ParcelaID, Designacao, Area, UnidadeID) VALUES (106, 'Horta nova', 0.3, 4 );</v>
      </c>
    </row>
    <row r="8" spans="1:16" ht="15.75" thickBot="1" x14ac:dyDescent="0.3">
      <c r="A8" s="49">
        <v>107</v>
      </c>
      <c r="B8" t="s">
        <v>176</v>
      </c>
      <c r="C8" s="54" t="s">
        <v>245</v>
      </c>
      <c r="D8" s="55">
        <v>2</v>
      </c>
      <c r="E8" t="s">
        <v>178</v>
      </c>
      <c r="F8" s="56">
        <f>_xlfn.XLOOKUP(E8,Unidades!$C$3:$C$8,Unidades!$B$3:$B$8,0,0)</f>
        <v>4</v>
      </c>
      <c r="G8" s="42" t="s">
        <v>269</v>
      </c>
      <c r="H8" s="8"/>
      <c r="I8" s="43" t="str">
        <f t="shared" si="0"/>
        <v>INSERT INTO Parcela(ParcelaID, Designacao, Area, UnidadeID) VALUES (107, 'Vinha', 2, 4 );</v>
      </c>
    </row>
    <row r="9" spans="1:16" x14ac:dyDescent="0.25">
      <c r="A9" s="57">
        <v>201</v>
      </c>
      <c r="B9" t="s">
        <v>183</v>
      </c>
      <c r="C9" s="60" t="s">
        <v>184</v>
      </c>
      <c r="D9" s="61">
        <v>600</v>
      </c>
      <c r="E9" t="s">
        <v>185</v>
      </c>
      <c r="F9" s="56">
        <f>_xlfn.XLOOKUP(E9,Unidades!$C$3:$C$8,Unidades!$B$3:$B$8,0,0)</f>
        <v>5</v>
      </c>
      <c r="G9" s="66">
        <f t="shared" ref="G9:G14" si="1">_xlfn.XLOOKUP(B9,$A$18:$A$21,$B$18:$B$21,0)</f>
        <v>1</v>
      </c>
      <c r="H9" s="8"/>
      <c r="I9" s="41" t="str">
        <f>"INSERT INTO Edificio(EdificioID, DesignacaoEdificio, Area, TipoEdificioID, UnidadeID) VALUES ("&amp;A9&amp;", '"&amp;C9&amp;"', "&amp;IF(D9=0,0,D9)&amp;", "&amp;G9&amp;", "&amp;F9&amp;");"</f>
        <v>INSERT INTO Edificio(EdificioID, DesignacaoEdificio, Area, TipoEdificioID, UnidadeID) VALUES (201, 'Espigueiro', 600, 1, 5);</v>
      </c>
      <c r="J9" s="105">
        <v>3</v>
      </c>
    </row>
    <row r="10" spans="1:16" x14ac:dyDescent="0.25">
      <c r="A10" s="58">
        <v>202</v>
      </c>
      <c r="B10" t="s">
        <v>183</v>
      </c>
      <c r="C10" s="62" t="s">
        <v>186</v>
      </c>
      <c r="D10" s="63">
        <v>800</v>
      </c>
      <c r="E10" t="s">
        <v>185</v>
      </c>
      <c r="F10" s="56">
        <f>_xlfn.XLOOKUP(E10,Unidades!$C$3:$C$8,Unidades!$B$3:$B$8,0,0)</f>
        <v>5</v>
      </c>
      <c r="G10" s="67">
        <f t="shared" si="1"/>
        <v>1</v>
      </c>
      <c r="H10" s="8"/>
      <c r="I10" s="41" t="str">
        <f t="shared" ref="I10:I14" si="2">"INSERT INTO Edificio(EdificioID, DesignacaoEdificio, Area, TipoEdificioID, UnidadeID) VALUES ("&amp;A10&amp;", '"&amp;C10&amp;"', "&amp;IF(D10=0,0,D10)&amp;", "&amp;G10&amp;", "&amp;F10&amp;");"</f>
        <v>INSERT INTO Edificio(EdificioID, DesignacaoEdificio, Area, TipoEdificioID, UnidadeID) VALUES (202, 'Armazém novo', 800, 1, 5);</v>
      </c>
    </row>
    <row r="11" spans="1:16" x14ac:dyDescent="0.25">
      <c r="A11" s="58">
        <v>203</v>
      </c>
      <c r="B11" t="s">
        <v>187</v>
      </c>
      <c r="C11" s="62" t="s">
        <v>188</v>
      </c>
      <c r="D11" s="63">
        <v>900</v>
      </c>
      <c r="E11" t="s">
        <v>185</v>
      </c>
      <c r="F11" s="56">
        <f>_xlfn.XLOOKUP(E11,Unidades!$C$3:$C$8,Unidades!$B$3:$B$8,0,0)</f>
        <v>5</v>
      </c>
      <c r="G11" s="67">
        <f t="shared" si="1"/>
        <v>2</v>
      </c>
      <c r="H11" s="8"/>
      <c r="I11" s="41" t="str">
        <f t="shared" si="2"/>
        <v>INSERT INTO Edificio(EdificioID, DesignacaoEdificio, Area, TipoEdificioID, UnidadeID) VALUES (203, 'Armazém grande', 900, 2, 5);</v>
      </c>
    </row>
    <row r="12" spans="1:16" x14ac:dyDescent="0.25">
      <c r="A12" s="58">
        <v>250</v>
      </c>
      <c r="B12" t="s">
        <v>189</v>
      </c>
      <c r="C12" s="62" t="s">
        <v>189</v>
      </c>
      <c r="D12" s="63"/>
      <c r="F12" s="56"/>
      <c r="G12" s="67">
        <f t="shared" si="1"/>
        <v>3</v>
      </c>
      <c r="H12" s="8"/>
      <c r="I12" s="41" t="str">
        <f>"INSERT INTO Edificio(EdificioID, DesignacaoEdificio, Area, TipoEdificioID, UnidadeID) VALUES ("&amp;A12&amp;", '"&amp;C12&amp;"', "&amp;IF(D12=0,0,D12)&amp;", "&amp;G12&amp;", "&amp;IF(F12="","''",0)&amp;");"</f>
        <v>INSERT INTO Edificio(EdificioID, DesignacaoEdificio, Area, TipoEdificioID, UnidadeID) VALUES (250, 'Moinho', 0, 3, '');</v>
      </c>
    </row>
    <row r="13" spans="1:16" x14ac:dyDescent="0.25">
      <c r="A13" s="58">
        <v>301</v>
      </c>
      <c r="B13" t="s">
        <v>190</v>
      </c>
      <c r="C13" s="62" t="s">
        <v>191</v>
      </c>
      <c r="D13" s="63">
        <v>18</v>
      </c>
      <c r="E13" t="s">
        <v>192</v>
      </c>
      <c r="F13" s="56">
        <f>_xlfn.XLOOKUP(E13,Unidades!$C$3:$C$8,Unidades!$B$3:$B$8,0,0)</f>
        <v>2</v>
      </c>
      <c r="G13" s="67">
        <f t="shared" si="1"/>
        <v>4</v>
      </c>
      <c r="H13" s="8"/>
      <c r="I13" s="41" t="str">
        <f t="shared" si="2"/>
        <v>INSERT INTO Edificio(EdificioID, DesignacaoEdificio, Area, TipoEdificioID, UnidadeID) VALUES (301, 'Tanque do campo grande', 18, 4, 2);</v>
      </c>
    </row>
    <row r="14" spans="1:16" ht="15.75" thickBot="1" x14ac:dyDescent="0.3">
      <c r="A14" s="59">
        <v>302</v>
      </c>
      <c r="B14" t="s">
        <v>190</v>
      </c>
      <c r="C14" s="64" t="s">
        <v>249</v>
      </c>
      <c r="D14" s="65">
        <v>35</v>
      </c>
      <c r="E14" t="s">
        <v>192</v>
      </c>
      <c r="F14" s="56">
        <f>_xlfn.XLOOKUP(E14,Unidades!$C$3:$C$8,Unidades!$B$3:$B$8,0,0)</f>
        <v>2</v>
      </c>
      <c r="G14" s="68">
        <f t="shared" si="1"/>
        <v>4</v>
      </c>
      <c r="H14" s="8"/>
      <c r="I14" s="41" t="str">
        <f t="shared" si="2"/>
        <v>INSERT INTO Edificio(EdificioID, DesignacaoEdificio, Area, TipoEdificioID, UnidadeID) VALUES (302, 'Poço da bouça', 35, 4, 2);</v>
      </c>
    </row>
    <row r="15" spans="1:16" x14ac:dyDescent="0.25">
      <c r="H15" s="6"/>
    </row>
    <row r="16" spans="1:16" x14ac:dyDescent="0.25">
      <c r="A16" s="157" t="s">
        <v>254</v>
      </c>
      <c r="B16" s="158"/>
      <c r="H16" s="6"/>
      <c r="K16" s="9"/>
      <c r="L16" s="9"/>
      <c r="M16" s="9"/>
      <c r="N16" s="9"/>
      <c r="O16" s="9"/>
      <c r="P16" s="9"/>
    </row>
    <row r="17" spans="1:16" x14ac:dyDescent="0.25">
      <c r="A17" s="90" t="s">
        <v>255</v>
      </c>
      <c r="B17" s="90" t="s">
        <v>174</v>
      </c>
      <c r="H17" s="7"/>
    </row>
    <row r="18" spans="1:16" x14ac:dyDescent="0.25">
      <c r="A18" s="91" t="str" cm="1">
        <f t="array" ref="A18:A21">_xlfn.UNIQUE(B9:B14)</f>
        <v>Armazém</v>
      </c>
      <c r="B18" s="91">
        <v>1</v>
      </c>
      <c r="H18" s="7"/>
    </row>
    <row r="19" spans="1:16" x14ac:dyDescent="0.25">
      <c r="A19" s="91" t="str">
        <v>Garagem</v>
      </c>
      <c r="B19" s="91">
        <f>B18+1</f>
        <v>2</v>
      </c>
      <c r="H19" s="7"/>
    </row>
    <row r="20" spans="1:16" x14ac:dyDescent="0.25">
      <c r="A20" s="91" t="str">
        <v>Moinho</v>
      </c>
      <c r="B20" s="91">
        <f t="shared" ref="B20" si="3">B19+1</f>
        <v>3</v>
      </c>
      <c r="H20" s="7"/>
    </row>
    <row r="21" spans="1:16" x14ac:dyDescent="0.25">
      <c r="A21" s="91" t="str">
        <v>Rega</v>
      </c>
      <c r="B21" s="91">
        <f>B20+1</f>
        <v>4</v>
      </c>
    </row>
    <row r="22" spans="1:16" x14ac:dyDescent="0.25">
      <c r="A22" s="156" t="str">
        <f>"INSERT INTO TipoEdificio(TipoEdificioID, DesignacaoTipoEdificio) VALUES ("&amp;B18&amp;", '"&amp;A18&amp;"');"</f>
        <v>INSERT INTO TipoEdificio(TipoEdificioID, DesignacaoTipoEdificio) VALUES (1, 'Armazém');</v>
      </c>
      <c r="B22" s="156"/>
      <c r="C22" s="156"/>
      <c r="D22" s="156"/>
      <c r="E22" s="156"/>
      <c r="F22" s="156"/>
      <c r="G22" s="156"/>
      <c r="H22" s="103">
        <v>1</v>
      </c>
    </row>
    <row r="23" spans="1:16" x14ac:dyDescent="0.25">
      <c r="A23" s="156" t="str">
        <f t="shared" ref="A23:A25" si="4">"INSERT INTO TipoEdificio(TipoEdificioID, DesignacaoTipoEdificio) VALUES ("&amp;B19&amp;", '"&amp;A19&amp;"');"</f>
        <v>INSERT INTO TipoEdificio(TipoEdificioID, DesignacaoTipoEdificio) VALUES (2, 'Garagem');</v>
      </c>
      <c r="B23" s="156"/>
      <c r="C23" s="156"/>
      <c r="D23" s="156"/>
      <c r="E23" s="156"/>
      <c r="F23" s="156"/>
      <c r="G23" s="156"/>
    </row>
    <row r="24" spans="1:16" x14ac:dyDescent="0.25">
      <c r="A24" s="156" t="str">
        <f t="shared" si="4"/>
        <v>INSERT INTO TipoEdificio(TipoEdificioID, DesignacaoTipoEdificio) VALUES (3, 'Moinho');</v>
      </c>
      <c r="B24" s="156"/>
      <c r="C24" s="156"/>
      <c r="D24" s="156"/>
      <c r="E24" s="156"/>
      <c r="F24" s="156"/>
      <c r="G24" s="156"/>
    </row>
    <row r="25" spans="1:16" x14ac:dyDescent="0.25">
      <c r="A25" s="156" t="str">
        <f t="shared" si="4"/>
        <v>INSERT INTO TipoEdificio(TipoEdificioID, DesignacaoTipoEdificio) VALUES (4, 'Rega');</v>
      </c>
      <c r="B25" s="156"/>
      <c r="C25" s="156"/>
      <c r="D25" s="156"/>
      <c r="E25" s="156"/>
      <c r="F25" s="156"/>
      <c r="G25" s="156"/>
    </row>
    <row r="26" spans="1:16" x14ac:dyDescent="0.25">
      <c r="J26" s="2"/>
    </row>
    <row r="29" spans="1:16" x14ac:dyDescent="0.25">
      <c r="K29" s="2"/>
      <c r="L29" s="2"/>
      <c r="M29" s="2"/>
      <c r="N29" s="2"/>
      <c r="O29" s="2"/>
      <c r="P29" s="2"/>
    </row>
    <row r="30" spans="1:16" x14ac:dyDescent="0.25">
      <c r="K30" s="2"/>
      <c r="L30" s="2"/>
      <c r="M30" s="2"/>
      <c r="N30" s="2"/>
      <c r="O30" s="2"/>
      <c r="P30" s="2"/>
    </row>
    <row r="31" spans="1:16" x14ac:dyDescent="0.25">
      <c r="K31" s="2"/>
      <c r="L31" s="2"/>
      <c r="M31" s="2"/>
      <c r="N31" s="2"/>
      <c r="O31" s="2"/>
      <c r="P31" s="2"/>
    </row>
    <row r="32" spans="1:16" x14ac:dyDescent="0.25">
      <c r="K32" s="2"/>
      <c r="L32" s="2"/>
      <c r="M32" s="2"/>
      <c r="N32" s="2"/>
      <c r="O32" s="2"/>
      <c r="P32" s="2"/>
    </row>
  </sheetData>
  <sortState xmlns:xlrd2="http://schemas.microsoft.com/office/spreadsheetml/2017/richdata2" ref="A2:E13">
    <sortCondition ref="A2:A13"/>
  </sortState>
  <mergeCells count="5">
    <mergeCell ref="A22:G22"/>
    <mergeCell ref="A23:G23"/>
    <mergeCell ref="A24:G24"/>
    <mergeCell ref="A25:G25"/>
    <mergeCell ref="A16:B16"/>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DE277-EC3F-46EA-8D39-A978B7AEA5AE}">
  <dimension ref="A1:L33"/>
  <sheetViews>
    <sheetView workbookViewId="0">
      <selection activeCell="L41" sqref="L41"/>
    </sheetView>
  </sheetViews>
  <sheetFormatPr defaultRowHeight="15" x14ac:dyDescent="0.25"/>
  <cols>
    <col min="2" max="2" width="17" customWidth="1"/>
    <col min="3" max="3" width="28.5703125" bestFit="1" customWidth="1"/>
    <col min="4" max="4" width="19.140625" customWidth="1"/>
    <col min="5" max="6" width="10.5703125" bestFit="1" customWidth="1"/>
    <col min="7" max="7" width="15.140625" customWidth="1"/>
    <col min="9" max="9" width="11.28515625" customWidth="1"/>
    <col min="11" max="11" width="9.140625" style="7"/>
    <col min="12" max="12" width="171.140625" bestFit="1" customWidth="1"/>
  </cols>
  <sheetData>
    <row r="1" spans="1:12" x14ac:dyDescent="0.25">
      <c r="A1" s="93" t="s">
        <v>174</v>
      </c>
      <c r="B1" s="6" t="s">
        <v>176</v>
      </c>
      <c r="C1" s="2" t="s">
        <v>193</v>
      </c>
      <c r="D1" s="2" t="s">
        <v>135</v>
      </c>
      <c r="E1" s="70" t="s">
        <v>194</v>
      </c>
      <c r="F1" s="70" t="s">
        <v>195</v>
      </c>
      <c r="G1" s="70" t="s">
        <v>196</v>
      </c>
      <c r="H1" s="2" t="s">
        <v>197</v>
      </c>
      <c r="I1" s="70" t="s">
        <v>268</v>
      </c>
      <c r="J1" s="70" t="s">
        <v>257</v>
      </c>
      <c r="K1" s="124" t="s">
        <v>287</v>
      </c>
      <c r="L1" s="108" t="s">
        <v>288</v>
      </c>
    </row>
    <row r="2" spans="1:12" x14ac:dyDescent="0.25">
      <c r="A2" s="94">
        <v>101</v>
      </c>
      <c r="B2" t="s">
        <v>177</v>
      </c>
      <c r="C2" t="s">
        <v>205</v>
      </c>
      <c r="D2" t="s">
        <v>98</v>
      </c>
      <c r="E2" s="92">
        <v>44114</v>
      </c>
      <c r="F2" s="92">
        <v>44285</v>
      </c>
      <c r="G2">
        <v>1.1000000000000001</v>
      </c>
      <c r="H2" t="s">
        <v>178</v>
      </c>
      <c r="I2" s="76">
        <f>_xlfn.XLOOKUP(H2,Unidades!$C$3:$C$8,Unidades!$B$3:$B$8,0,0)</f>
        <v>4</v>
      </c>
      <c r="J2" s="76" cm="1">
        <f t="array" ref="J2:J28">_xlfn.XLOOKUP(C2:C28,Plantas!$V$2:$V$96,Plantas!U2:U96,-1,0)</f>
        <v>80</v>
      </c>
      <c r="K2" s="76">
        <v>1</v>
      </c>
      <c r="L2" s="71" t="str">
        <f>"INSERT INTO Cultivo(CultivoID, CulturaID, ParcelaID, DataInicio, DataFim, Quantidade, UnidadeID) VALUES ("&amp;K2&amp;", "&amp;J2&amp;", "&amp;A2&amp;",TO_DATE('"&amp;TEXT(E2,"dd/mm/aaaa")&amp;"','dd/mm/yyyy'), TO_DATE('"&amp;IF(F2&lt;&gt;"",TEXT(F2,"dd/mm/aaaa"),"")&amp;"', 'dd/mm/yyyy'), "&amp;SUBSTITUTE(G2,",",".")&amp;", "&amp;I2&amp;");"</f>
        <v>INSERT INTO Cultivo(CultivoID, CulturaID, ParcelaID, DataInicio, DataFim, Quantidade, UnidadeID) VALUES (1, 80, 101,TO_DATE('10/10/2020','dd/mm/yyyy'), TO_DATE('30/03/2021', 'dd/mm/yyyy'), 1.1, 4);</v>
      </c>
    </row>
    <row r="3" spans="1:12" x14ac:dyDescent="0.25">
      <c r="A3" s="94">
        <v>101</v>
      </c>
      <c r="B3" t="s">
        <v>177</v>
      </c>
      <c r="C3" t="s">
        <v>206</v>
      </c>
      <c r="D3" t="s">
        <v>98</v>
      </c>
      <c r="E3" s="92">
        <v>44296</v>
      </c>
      <c r="F3" s="92">
        <v>44420</v>
      </c>
      <c r="G3">
        <v>0.9</v>
      </c>
      <c r="H3" t="s">
        <v>178</v>
      </c>
      <c r="I3" s="76">
        <f>_xlfn.XLOOKUP(H3,Unidades!$C$3:$C$8,Unidades!$B$3:$B$8,0,0)</f>
        <v>4</v>
      </c>
      <c r="J3" s="76">
        <v>83</v>
      </c>
      <c r="K3" s="76">
        <f>K2+1</f>
        <v>2</v>
      </c>
      <c r="L3" s="71" t="str">
        <f t="shared" ref="L3:L28" si="0">"INSERT INTO Cultivo(CultivoID, CulturaID, ParcelaID, DataInicio, DataFim, Quantidade, UnidadeID) VALUES ("&amp;K3&amp;", "&amp;J3&amp;", "&amp;A3&amp;",TO_DATE('"&amp;TEXT(E3,"dd/mm/aaaa")&amp;"','dd/mm/yyyy'), TO_DATE('"&amp;IF(F3&lt;&gt;"",TEXT(F3,"dd/mm/aaaa"),"")&amp;"', 'dd/mm/yyyy'), "&amp;SUBSTITUTE(G3,",",".")&amp;", "&amp;I3&amp;");"</f>
        <v>INSERT INTO Cultivo(CultivoID, CulturaID, ParcelaID, DataInicio, DataFim, Quantidade, UnidadeID) VALUES (2, 83, 101,TO_DATE('10/04/2021','dd/mm/yyyy'), TO_DATE('12/08/2021', 'dd/mm/yyyy'), 0.9, 4);</v>
      </c>
    </row>
    <row r="4" spans="1:12" x14ac:dyDescent="0.25">
      <c r="A4" s="94">
        <v>101</v>
      </c>
      <c r="B4" t="s">
        <v>177</v>
      </c>
      <c r="C4" t="s">
        <v>205</v>
      </c>
      <c r="D4" t="s">
        <v>98</v>
      </c>
      <c r="E4" s="92">
        <v>44472</v>
      </c>
      <c r="F4" s="92">
        <v>44656</v>
      </c>
      <c r="G4">
        <v>1.1000000000000001</v>
      </c>
      <c r="H4" t="s">
        <v>178</v>
      </c>
      <c r="I4" s="76">
        <f>_xlfn.XLOOKUP(H4,Unidades!$C$3:$C$8,Unidades!$B$3:$B$8,0,0)</f>
        <v>4</v>
      </c>
      <c r="J4" s="76">
        <v>80</v>
      </c>
      <c r="K4" s="76">
        <f t="shared" ref="K4:K28" si="1">K3+1</f>
        <v>3</v>
      </c>
      <c r="L4" s="71" t="str">
        <f t="shared" si="0"/>
        <v>INSERT INTO Cultivo(CultivoID, CulturaID, ParcelaID, DataInicio, DataFim, Quantidade, UnidadeID) VALUES (3, 80, 101,TO_DATE('03/10/2021','dd/mm/yyyy'), TO_DATE('05/04/2022', 'dd/mm/yyyy'), 1.1, 4);</v>
      </c>
    </row>
    <row r="5" spans="1:12" x14ac:dyDescent="0.25">
      <c r="A5" s="94">
        <v>101</v>
      </c>
      <c r="B5" t="s">
        <v>177</v>
      </c>
      <c r="C5" t="s">
        <v>206</v>
      </c>
      <c r="D5" t="s">
        <v>98</v>
      </c>
      <c r="E5" s="92">
        <v>44666</v>
      </c>
      <c r="F5" s="92">
        <v>44794</v>
      </c>
      <c r="G5">
        <v>0.9</v>
      </c>
      <c r="H5" t="s">
        <v>178</v>
      </c>
      <c r="I5" s="76">
        <f>_xlfn.XLOOKUP(H5,Unidades!$C$3:$C$8,Unidades!$B$3:$B$8,0,0)</f>
        <v>4</v>
      </c>
      <c r="J5" s="76">
        <v>83</v>
      </c>
      <c r="K5" s="76">
        <f t="shared" si="1"/>
        <v>4</v>
      </c>
      <c r="L5" s="71" t="str">
        <f t="shared" si="0"/>
        <v>INSERT INTO Cultivo(CultivoID, CulturaID, ParcelaID, DataInicio, DataFim, Quantidade, UnidadeID) VALUES (4, 83, 101,TO_DATE('15/04/2022','dd/mm/yyyy'), TO_DATE('21/08/2022', 'dd/mm/yyyy'), 0.9, 4);</v>
      </c>
    </row>
    <row r="6" spans="1:12" x14ac:dyDescent="0.25">
      <c r="A6" s="94">
        <v>103</v>
      </c>
      <c r="B6" t="s">
        <v>180</v>
      </c>
      <c r="C6" t="s">
        <v>238</v>
      </c>
      <c r="D6" t="s">
        <v>98</v>
      </c>
      <c r="E6" s="92">
        <v>43926</v>
      </c>
      <c r="F6" s="92">
        <v>44063</v>
      </c>
      <c r="G6">
        <v>1.2</v>
      </c>
      <c r="H6" t="s">
        <v>178</v>
      </c>
      <c r="I6" s="76">
        <f>_xlfn.XLOOKUP(H6,Unidades!$C$3:$C$8,Unidades!$B$3:$B$8,0,0)</f>
        <v>4</v>
      </c>
      <c r="J6" s="76">
        <v>82</v>
      </c>
      <c r="K6" s="76">
        <f t="shared" si="1"/>
        <v>5</v>
      </c>
      <c r="L6" s="71" t="str">
        <f t="shared" si="0"/>
        <v>INSERT INTO Cultivo(CultivoID, CulturaID, ParcelaID, DataInicio, DataFim, Quantidade, UnidadeID) VALUES (5, 82, 103,TO_DATE('05/04/2020','dd/mm/yyyy'), TO_DATE('20/08/2020', 'dd/mm/yyyy'), 1.2, 4);</v>
      </c>
    </row>
    <row r="7" spans="1:12" x14ac:dyDescent="0.25">
      <c r="A7" s="94">
        <v>103</v>
      </c>
      <c r="B7" t="s">
        <v>180</v>
      </c>
      <c r="C7" t="s">
        <v>205</v>
      </c>
      <c r="D7" t="s">
        <v>98</v>
      </c>
      <c r="E7" s="92">
        <v>44116</v>
      </c>
      <c r="F7" s="92">
        <v>44270</v>
      </c>
      <c r="G7">
        <v>1.3</v>
      </c>
      <c r="H7" t="s">
        <v>178</v>
      </c>
      <c r="I7" s="76">
        <f>_xlfn.XLOOKUP(H7,Unidades!$C$3:$C$8,Unidades!$B$3:$B$8,0,0)</f>
        <v>4</v>
      </c>
      <c r="J7" s="76">
        <v>80</v>
      </c>
      <c r="K7" s="76">
        <f t="shared" si="1"/>
        <v>6</v>
      </c>
      <c r="L7" s="71" t="str">
        <f t="shared" si="0"/>
        <v>INSERT INTO Cultivo(CultivoID, CulturaID, ParcelaID, DataInicio, DataFim, Quantidade, UnidadeID) VALUES (6, 80, 103,TO_DATE('12/10/2020','dd/mm/yyyy'), TO_DATE('15/03/2021', 'dd/mm/yyyy'), 1.3, 4);</v>
      </c>
    </row>
    <row r="8" spans="1:12" x14ac:dyDescent="0.25">
      <c r="A8" s="94">
        <v>103</v>
      </c>
      <c r="B8" t="s">
        <v>180</v>
      </c>
      <c r="C8" t="s">
        <v>238</v>
      </c>
      <c r="D8" t="s">
        <v>98</v>
      </c>
      <c r="E8" s="92">
        <v>44289</v>
      </c>
      <c r="F8" s="92">
        <v>44433</v>
      </c>
      <c r="G8">
        <v>1.2</v>
      </c>
      <c r="H8" t="s">
        <v>178</v>
      </c>
      <c r="I8" s="76">
        <f>_xlfn.XLOOKUP(H8,Unidades!$C$3:$C$8,Unidades!$B$3:$B$8,0,0)</f>
        <v>4</v>
      </c>
      <c r="J8" s="76">
        <v>82</v>
      </c>
      <c r="K8" s="76">
        <f t="shared" si="1"/>
        <v>7</v>
      </c>
      <c r="L8" s="71" t="str">
        <f t="shared" si="0"/>
        <v>INSERT INTO Cultivo(CultivoID, CulturaID, ParcelaID, DataInicio, DataFim, Quantidade, UnidadeID) VALUES (7, 82, 103,TO_DATE('03/04/2021','dd/mm/yyyy'), TO_DATE('25/08/2021', 'dd/mm/yyyy'), 1.2, 4);</v>
      </c>
    </row>
    <row r="9" spans="1:12" x14ac:dyDescent="0.25">
      <c r="A9" s="94">
        <v>103</v>
      </c>
      <c r="B9" t="s">
        <v>180</v>
      </c>
      <c r="C9" t="s">
        <v>205</v>
      </c>
      <c r="D9" t="s">
        <v>98</v>
      </c>
      <c r="E9" s="92">
        <v>44475</v>
      </c>
      <c r="F9" s="92">
        <v>44639</v>
      </c>
      <c r="G9">
        <v>1.3</v>
      </c>
      <c r="H9" t="s">
        <v>178</v>
      </c>
      <c r="I9" s="76">
        <f>_xlfn.XLOOKUP(H9,Unidades!$C$3:$C$8,Unidades!$B$3:$B$8,0,0)</f>
        <v>4</v>
      </c>
      <c r="J9" s="76">
        <v>80</v>
      </c>
      <c r="K9" s="76">
        <f t="shared" si="1"/>
        <v>8</v>
      </c>
      <c r="L9" s="71" t="str">
        <f t="shared" si="0"/>
        <v>INSERT INTO Cultivo(CultivoID, CulturaID, ParcelaID, DataInicio, DataFim, Quantidade, UnidadeID) VALUES (8, 80, 103,TO_DATE('06/10/2021','dd/mm/yyyy'), TO_DATE('19/03/2022', 'dd/mm/yyyy'), 1.3, 4);</v>
      </c>
    </row>
    <row r="10" spans="1:12" x14ac:dyDescent="0.25">
      <c r="A10" s="94">
        <v>103</v>
      </c>
      <c r="B10" t="s">
        <v>180</v>
      </c>
      <c r="C10" t="s">
        <v>238</v>
      </c>
      <c r="D10" t="s">
        <v>98</v>
      </c>
      <c r="E10" s="92">
        <v>44659</v>
      </c>
      <c r="F10" s="92">
        <v>44791</v>
      </c>
      <c r="G10">
        <v>1.2</v>
      </c>
      <c r="H10" t="s">
        <v>178</v>
      </c>
      <c r="I10" s="76">
        <f>_xlfn.XLOOKUP(H10,Unidades!$C$3:$C$8,Unidades!$B$3:$B$8,0,0)</f>
        <v>4</v>
      </c>
      <c r="J10" s="76">
        <v>82</v>
      </c>
      <c r="K10" s="76">
        <f t="shared" si="1"/>
        <v>9</v>
      </c>
      <c r="L10" s="71" t="str">
        <f t="shared" si="0"/>
        <v>INSERT INTO Cultivo(CultivoID, CulturaID, ParcelaID, DataInicio, DataFim, Quantidade, UnidadeID) VALUES (9, 82, 103,TO_DATE('08/04/2022','dd/mm/yyyy'), TO_DATE('18/08/2022', 'dd/mm/yyyy'), 1.2, 4);</v>
      </c>
    </row>
    <row r="11" spans="1:12" x14ac:dyDescent="0.25">
      <c r="A11" s="94">
        <v>103</v>
      </c>
      <c r="B11" t="s">
        <v>180</v>
      </c>
      <c r="C11" t="s">
        <v>205</v>
      </c>
      <c r="D11" t="s">
        <v>98</v>
      </c>
      <c r="E11" s="92">
        <v>44846</v>
      </c>
      <c r="F11" s="92">
        <v>45005</v>
      </c>
      <c r="G11">
        <v>1.3</v>
      </c>
      <c r="H11" t="s">
        <v>178</v>
      </c>
      <c r="I11" s="76">
        <f>_xlfn.XLOOKUP(H11,Unidades!$C$3:$C$8,Unidades!$B$3:$B$8,0,0)</f>
        <v>4</v>
      </c>
      <c r="J11" s="76">
        <v>80</v>
      </c>
      <c r="K11" s="76">
        <f t="shared" si="1"/>
        <v>10</v>
      </c>
      <c r="L11" s="71" t="str">
        <f t="shared" si="0"/>
        <v>INSERT INTO Cultivo(CultivoID, CulturaID, ParcelaID, DataInicio, DataFim, Quantidade, UnidadeID) VALUES (10, 80, 103,TO_DATE('12/10/2022','dd/mm/yyyy'), TO_DATE('20/03/2023', 'dd/mm/yyyy'), 1.3, 4);</v>
      </c>
    </row>
    <row r="12" spans="1:12" x14ac:dyDescent="0.25">
      <c r="A12" s="94">
        <v>102</v>
      </c>
      <c r="B12" t="s">
        <v>198</v>
      </c>
      <c r="C12" t="s">
        <v>199</v>
      </c>
      <c r="D12" t="s">
        <v>11</v>
      </c>
      <c r="E12" s="92">
        <v>42649</v>
      </c>
      <c r="F12" s="92"/>
      <c r="G12">
        <v>30</v>
      </c>
      <c r="H12" t="s">
        <v>200</v>
      </c>
      <c r="I12" s="76">
        <f>_xlfn.XLOOKUP(H12,Unidades!$C$3:$C$8,Unidades!$B$3:$B$8,0,0)</f>
        <v>1</v>
      </c>
      <c r="J12" s="76">
        <v>92</v>
      </c>
      <c r="K12" s="76">
        <f t="shared" si="1"/>
        <v>11</v>
      </c>
      <c r="L12" s="71" t="str">
        <f t="shared" si="0"/>
        <v>INSERT INTO Cultivo(CultivoID, CulturaID, ParcelaID, DataInicio, DataFim, Quantidade, UnidadeID) VALUES (11, 92, 102,TO_DATE('06/10/2016','dd/mm/yyyy'), TO_DATE('', 'dd/mm/yyyy'), 30, 1);</v>
      </c>
    </row>
    <row r="13" spans="1:12" x14ac:dyDescent="0.25">
      <c r="A13" s="94">
        <v>102</v>
      </c>
      <c r="B13" t="s">
        <v>198</v>
      </c>
      <c r="C13" t="s">
        <v>201</v>
      </c>
      <c r="D13" t="s">
        <v>11</v>
      </c>
      <c r="E13" s="92">
        <v>42653</v>
      </c>
      <c r="F13" s="92"/>
      <c r="G13">
        <v>20</v>
      </c>
      <c r="H13" t="s">
        <v>200</v>
      </c>
      <c r="I13" s="76">
        <f>_xlfn.XLOOKUP(H13,Unidades!$C$3:$C$8,Unidades!$B$3:$B$8,0,0)</f>
        <v>1</v>
      </c>
      <c r="J13" s="76">
        <v>89</v>
      </c>
      <c r="K13" s="76">
        <f t="shared" si="1"/>
        <v>12</v>
      </c>
      <c r="L13" s="71" t="str">
        <f t="shared" si="0"/>
        <v>INSERT INTO Cultivo(CultivoID, CulturaID, ParcelaID, DataInicio, DataFim, Quantidade, UnidadeID) VALUES (12, 89, 102,TO_DATE('10/10/2016','dd/mm/yyyy'), TO_DATE('', 'dd/mm/yyyy'), 20, 1);</v>
      </c>
    </row>
    <row r="14" spans="1:12" x14ac:dyDescent="0.25">
      <c r="A14" s="94">
        <v>106</v>
      </c>
      <c r="B14" t="s">
        <v>219</v>
      </c>
      <c r="C14" t="s">
        <v>220</v>
      </c>
      <c r="D14" t="s">
        <v>98</v>
      </c>
      <c r="E14" s="92">
        <v>43900</v>
      </c>
      <c r="F14" s="92">
        <v>43966</v>
      </c>
      <c r="G14">
        <v>0.15</v>
      </c>
      <c r="H14" t="s">
        <v>178</v>
      </c>
      <c r="I14" s="76">
        <f>_xlfn.XLOOKUP(H14,Unidades!$C$3:$C$8,Unidades!$B$3:$B$8,0,0)</f>
        <v>4</v>
      </c>
      <c r="J14" s="76">
        <v>79</v>
      </c>
      <c r="K14" s="76">
        <f t="shared" si="1"/>
        <v>13</v>
      </c>
      <c r="L14" s="71" t="str">
        <f t="shared" si="0"/>
        <v>INSERT INTO Cultivo(CultivoID, CulturaID, ParcelaID, DataInicio, DataFim, Quantidade, UnidadeID) VALUES (13, 79, 106,TO_DATE('10/03/2020','dd/mm/yyyy'), TO_DATE('15/05/2020', 'dd/mm/yyyy'), 0.15, 4);</v>
      </c>
    </row>
    <row r="15" spans="1:12" x14ac:dyDescent="0.25">
      <c r="A15" s="94">
        <v>106</v>
      </c>
      <c r="B15" t="s">
        <v>219</v>
      </c>
      <c r="C15" t="s">
        <v>221</v>
      </c>
      <c r="D15" t="s">
        <v>98</v>
      </c>
      <c r="E15" s="92">
        <v>43984</v>
      </c>
      <c r="F15" s="92">
        <v>44082</v>
      </c>
      <c r="G15">
        <v>0.1</v>
      </c>
      <c r="H15" t="s">
        <v>178</v>
      </c>
      <c r="I15" s="76">
        <f>_xlfn.XLOOKUP(H15,Unidades!$C$3:$C$8,Unidades!$B$3:$B$8,0,0)</f>
        <v>4</v>
      </c>
      <c r="J15" s="76">
        <v>78</v>
      </c>
      <c r="K15" s="76">
        <f t="shared" si="1"/>
        <v>14</v>
      </c>
      <c r="L15" s="71" t="str">
        <f t="shared" si="0"/>
        <v>INSERT INTO Cultivo(CultivoID, CulturaID, ParcelaID, DataInicio, DataFim, Quantidade, UnidadeID) VALUES (14, 78, 106,TO_DATE('02/06/2020','dd/mm/yyyy'), TO_DATE('08/09/2020', 'dd/mm/yyyy'), 0.1, 4);</v>
      </c>
    </row>
    <row r="16" spans="1:12" x14ac:dyDescent="0.25">
      <c r="A16" s="94">
        <v>106</v>
      </c>
      <c r="B16" t="s">
        <v>219</v>
      </c>
      <c r="C16" t="s">
        <v>226</v>
      </c>
      <c r="D16" t="s">
        <v>98</v>
      </c>
      <c r="E16" s="92">
        <v>44094</v>
      </c>
      <c r="F16" s="92">
        <v>44206</v>
      </c>
      <c r="G16">
        <v>0.2</v>
      </c>
      <c r="H16" t="s">
        <v>178</v>
      </c>
      <c r="I16" s="76">
        <f>_xlfn.XLOOKUP(H16,Unidades!$C$3:$C$8,Unidades!$B$3:$B$8,0,0)</f>
        <v>4</v>
      </c>
      <c r="J16" s="76">
        <v>93</v>
      </c>
      <c r="K16" s="76">
        <f t="shared" si="1"/>
        <v>15</v>
      </c>
      <c r="L16" s="71" t="str">
        <f t="shared" si="0"/>
        <v>INSERT INTO Cultivo(CultivoID, CulturaID, ParcelaID, DataInicio, DataFim, Quantidade, UnidadeID) VALUES (15, 93, 106,TO_DATE('20/09/2020','dd/mm/yyyy'), TO_DATE('10/01/2021', 'dd/mm/yyyy'), 0.2, 4);</v>
      </c>
    </row>
    <row r="17" spans="1:12" x14ac:dyDescent="0.25">
      <c r="A17" s="94">
        <v>106</v>
      </c>
      <c r="B17" t="s">
        <v>219</v>
      </c>
      <c r="C17" t="s">
        <v>252</v>
      </c>
      <c r="D17" t="s">
        <v>98</v>
      </c>
      <c r="E17" s="92">
        <v>44265</v>
      </c>
      <c r="F17" s="92">
        <v>44331</v>
      </c>
      <c r="G17">
        <v>0.15</v>
      </c>
      <c r="H17" t="s">
        <v>178</v>
      </c>
      <c r="I17" s="76">
        <f>_xlfn.XLOOKUP(H17,Unidades!$C$3:$C$8,Unidades!$B$3:$B$8,0,0)</f>
        <v>4</v>
      </c>
      <c r="J17" s="76">
        <v>77</v>
      </c>
      <c r="K17" s="76">
        <f t="shared" si="1"/>
        <v>16</v>
      </c>
      <c r="L17" s="71" t="str">
        <f t="shared" si="0"/>
        <v>INSERT INTO Cultivo(CultivoID, CulturaID, ParcelaID, DataInicio, DataFim, Quantidade, UnidadeID) VALUES (16, 77, 106,TO_DATE('10/03/2021','dd/mm/yyyy'), TO_DATE('15/05/2021', 'dd/mm/yyyy'), 0.15, 4);</v>
      </c>
    </row>
    <row r="18" spans="1:12" x14ac:dyDescent="0.25">
      <c r="A18" s="94">
        <v>106</v>
      </c>
      <c r="B18" t="s">
        <v>219</v>
      </c>
      <c r="C18" t="s">
        <v>253</v>
      </c>
      <c r="D18" t="s">
        <v>98</v>
      </c>
      <c r="E18" s="92">
        <v>44349</v>
      </c>
      <c r="F18" s="92">
        <v>44447</v>
      </c>
      <c r="G18">
        <v>0.1</v>
      </c>
      <c r="H18" t="s">
        <v>178</v>
      </c>
      <c r="I18" s="76">
        <f>_xlfn.XLOOKUP(H18,Unidades!$C$3:$C$8,Unidades!$B$3:$B$8,0,0)</f>
        <v>4</v>
      </c>
      <c r="J18" s="76">
        <v>75</v>
      </c>
      <c r="K18" s="76">
        <f t="shared" si="1"/>
        <v>17</v>
      </c>
      <c r="L18" s="71" t="str">
        <f t="shared" si="0"/>
        <v>INSERT INTO Cultivo(CultivoID, CulturaID, ParcelaID, DataInicio, DataFim, Quantidade, UnidadeID) VALUES (17, 75, 106,TO_DATE('02/06/2021','dd/mm/yyyy'), TO_DATE('08/09/2021', 'dd/mm/yyyy'), 0.1, 4);</v>
      </c>
    </row>
    <row r="19" spans="1:12" x14ac:dyDescent="0.25">
      <c r="A19" s="94">
        <v>106</v>
      </c>
      <c r="B19" t="s">
        <v>219</v>
      </c>
      <c r="C19" t="s">
        <v>226</v>
      </c>
      <c r="D19" t="s">
        <v>98</v>
      </c>
      <c r="E19" s="92">
        <v>44459</v>
      </c>
      <c r="F19" s="92">
        <v>44571</v>
      </c>
      <c r="G19">
        <v>0.2</v>
      </c>
      <c r="H19" t="s">
        <v>178</v>
      </c>
      <c r="I19" s="76">
        <f>_xlfn.XLOOKUP(H19,Unidades!$C$3:$C$8,Unidades!$B$3:$B$8,0,0)</f>
        <v>4</v>
      </c>
      <c r="J19" s="76">
        <v>93</v>
      </c>
      <c r="K19" s="76">
        <f t="shared" si="1"/>
        <v>18</v>
      </c>
      <c r="L19" s="71" t="str">
        <f t="shared" si="0"/>
        <v>INSERT INTO Cultivo(CultivoID, CulturaID, ParcelaID, DataInicio, DataFim, Quantidade, UnidadeID) VALUES (18, 93, 106,TO_DATE('20/09/2021','dd/mm/yyyy'), TO_DATE('10/01/2022', 'dd/mm/yyyy'), 0.2, 4);</v>
      </c>
    </row>
    <row r="20" spans="1:12" x14ac:dyDescent="0.25">
      <c r="A20" s="94">
        <v>106</v>
      </c>
      <c r="B20" t="s">
        <v>219</v>
      </c>
      <c r="C20" t="s">
        <v>252</v>
      </c>
      <c r="D20" t="s">
        <v>98</v>
      </c>
      <c r="E20" s="92">
        <v>44626</v>
      </c>
      <c r="F20" s="92">
        <v>44697</v>
      </c>
      <c r="G20">
        <v>0.15</v>
      </c>
      <c r="H20" t="s">
        <v>178</v>
      </c>
      <c r="I20" s="76">
        <f>_xlfn.XLOOKUP(H20,Unidades!$C$3:$C$8,Unidades!$B$3:$B$8,0,0)</f>
        <v>4</v>
      </c>
      <c r="J20" s="76">
        <v>77</v>
      </c>
      <c r="K20" s="76">
        <f t="shared" si="1"/>
        <v>19</v>
      </c>
      <c r="L20" s="71" t="str">
        <f t="shared" si="0"/>
        <v>INSERT INTO Cultivo(CultivoID, CulturaID, ParcelaID, DataInicio, DataFim, Quantidade, UnidadeID) VALUES (19, 77, 106,TO_DATE('06/03/2022','dd/mm/yyyy'), TO_DATE('16/05/2022', 'dd/mm/yyyy'), 0.15, 4);</v>
      </c>
    </row>
    <row r="21" spans="1:12" x14ac:dyDescent="0.25">
      <c r="A21" s="94">
        <v>106</v>
      </c>
      <c r="B21" t="s">
        <v>219</v>
      </c>
      <c r="C21" t="s">
        <v>221</v>
      </c>
      <c r="D21" t="s">
        <v>98</v>
      </c>
      <c r="E21" s="92">
        <v>44711</v>
      </c>
      <c r="F21" s="92">
        <v>44809</v>
      </c>
      <c r="G21">
        <v>0.15</v>
      </c>
      <c r="H21" t="s">
        <v>178</v>
      </c>
      <c r="I21" s="76">
        <f>_xlfn.XLOOKUP(H21,Unidades!$C$3:$C$8,Unidades!$B$3:$B$8,0,0)</f>
        <v>4</v>
      </c>
      <c r="J21" s="76">
        <v>78</v>
      </c>
      <c r="K21" s="76">
        <f t="shared" si="1"/>
        <v>20</v>
      </c>
      <c r="L21" s="71" t="str">
        <f t="shared" si="0"/>
        <v>INSERT INTO Cultivo(CultivoID, CulturaID, ParcelaID, DataInicio, DataFim, Quantidade, UnidadeID) VALUES (20, 78, 106,TO_DATE('30/05/2022','dd/mm/yyyy'), TO_DATE('05/09/2022', 'dd/mm/yyyy'), 0.15, 4);</v>
      </c>
    </row>
    <row r="22" spans="1:12" x14ac:dyDescent="0.25">
      <c r="A22" s="94">
        <v>106</v>
      </c>
      <c r="B22" t="s">
        <v>219</v>
      </c>
      <c r="C22" t="s">
        <v>237</v>
      </c>
      <c r="D22" t="s">
        <v>98</v>
      </c>
      <c r="E22" s="92">
        <v>44824</v>
      </c>
      <c r="F22" s="92">
        <v>44940</v>
      </c>
      <c r="G22">
        <v>0.25</v>
      </c>
      <c r="H22" t="s">
        <v>178</v>
      </c>
      <c r="I22" s="76">
        <f>_xlfn.XLOOKUP(H22,Unidades!$C$3:$C$8,Unidades!$B$3:$B$8,0,0)</f>
        <v>4</v>
      </c>
      <c r="J22" s="76">
        <v>84</v>
      </c>
      <c r="K22" s="76">
        <f t="shared" si="1"/>
        <v>21</v>
      </c>
      <c r="L22" s="71" t="str">
        <f t="shared" si="0"/>
        <v>INSERT INTO Cultivo(CultivoID, CulturaID, ParcelaID, DataInicio, DataFim, Quantidade, UnidadeID) VALUES (21, 84, 106,TO_DATE('20/09/2022','dd/mm/yyyy'), TO_DATE('14/01/2023', 'dd/mm/yyyy'), 0.25, 4);</v>
      </c>
    </row>
    <row r="23" spans="1:12" x14ac:dyDescent="0.25">
      <c r="A23" s="94">
        <v>104</v>
      </c>
      <c r="B23" t="s">
        <v>181</v>
      </c>
      <c r="C23" t="s">
        <v>202</v>
      </c>
      <c r="D23" t="s">
        <v>11</v>
      </c>
      <c r="E23" s="92">
        <v>42742</v>
      </c>
      <c r="F23" s="92"/>
      <c r="G23">
        <v>90</v>
      </c>
      <c r="H23" t="s">
        <v>200</v>
      </c>
      <c r="I23" s="76">
        <f>_xlfn.XLOOKUP(H23,Unidades!$C$3:$C$8,Unidades!$B$3:$B$8,0,0)</f>
        <v>1</v>
      </c>
      <c r="J23" s="76">
        <v>41</v>
      </c>
      <c r="K23" s="76">
        <f t="shared" si="1"/>
        <v>22</v>
      </c>
      <c r="L23" s="71" t="str">
        <f t="shared" si="0"/>
        <v>INSERT INTO Cultivo(CultivoID, CulturaID, ParcelaID, DataInicio, DataFim, Quantidade, UnidadeID) VALUES (22, 41, 104,TO_DATE('07/01/2017','dd/mm/yyyy'), TO_DATE('', 'dd/mm/yyyy'), 90, 1);</v>
      </c>
    </row>
    <row r="24" spans="1:12" x14ac:dyDescent="0.25">
      <c r="A24" s="94">
        <v>104</v>
      </c>
      <c r="B24" t="s">
        <v>181</v>
      </c>
      <c r="C24" t="s">
        <v>203</v>
      </c>
      <c r="D24" t="s">
        <v>11</v>
      </c>
      <c r="E24" s="92">
        <v>42743</v>
      </c>
      <c r="F24" s="92"/>
      <c r="G24">
        <v>60</v>
      </c>
      <c r="H24" t="s">
        <v>200</v>
      </c>
      <c r="I24" s="76">
        <f>_xlfn.XLOOKUP(H24,Unidades!$C$3:$C$8,Unidades!$B$3:$B$8,0,0)</f>
        <v>1</v>
      </c>
      <c r="J24" s="76">
        <v>37</v>
      </c>
      <c r="K24" s="76">
        <f t="shared" si="1"/>
        <v>23</v>
      </c>
      <c r="L24" s="71" t="str">
        <f t="shared" si="0"/>
        <v>INSERT INTO Cultivo(CultivoID, CulturaID, ParcelaID, DataInicio, DataFim, Quantidade, UnidadeID) VALUES (23, 37, 104,TO_DATE('08/01/2017','dd/mm/yyyy'), TO_DATE('', 'dd/mm/yyyy'), 60, 1);</v>
      </c>
    </row>
    <row r="25" spans="1:12" x14ac:dyDescent="0.25">
      <c r="A25" s="94">
        <v>104</v>
      </c>
      <c r="B25" t="s">
        <v>181</v>
      </c>
      <c r="C25" t="s">
        <v>204</v>
      </c>
      <c r="D25" t="s">
        <v>11</v>
      </c>
      <c r="E25" s="92">
        <v>42743</v>
      </c>
      <c r="F25" s="92"/>
      <c r="G25">
        <v>40</v>
      </c>
      <c r="H25" t="s">
        <v>200</v>
      </c>
      <c r="I25" s="76">
        <f>_xlfn.XLOOKUP(H25,Unidades!$C$3:$C$8,Unidades!$B$3:$B$8,0,0)</f>
        <v>1</v>
      </c>
      <c r="J25" s="76">
        <v>48</v>
      </c>
      <c r="K25" s="76">
        <f t="shared" si="1"/>
        <v>24</v>
      </c>
      <c r="L25" s="71" t="str">
        <f t="shared" si="0"/>
        <v>INSERT INTO Cultivo(CultivoID, CulturaID, ParcelaID, DataInicio, DataFim, Quantidade, UnidadeID) VALUES (24, 48, 104,TO_DATE('08/01/2017','dd/mm/yyyy'), TO_DATE('', 'dd/mm/yyyy'), 40, 1);</v>
      </c>
    </row>
    <row r="26" spans="1:12" x14ac:dyDescent="0.25">
      <c r="A26" s="94">
        <v>104</v>
      </c>
      <c r="B26" t="s">
        <v>181</v>
      </c>
      <c r="C26" t="s">
        <v>204</v>
      </c>
      <c r="D26" t="s">
        <v>11</v>
      </c>
      <c r="E26" s="92">
        <v>43444</v>
      </c>
      <c r="F26" s="92"/>
      <c r="G26">
        <v>30</v>
      </c>
      <c r="H26" t="s">
        <v>200</v>
      </c>
      <c r="I26" s="76">
        <f>_xlfn.XLOOKUP(H26,Unidades!$C$3:$C$8,Unidades!$B$3:$B$8,0,0)</f>
        <v>1</v>
      </c>
      <c r="J26" s="76">
        <v>48</v>
      </c>
      <c r="K26" s="76">
        <f t="shared" si="1"/>
        <v>25</v>
      </c>
      <c r="L26" s="71" t="str">
        <f t="shared" si="0"/>
        <v>INSERT INTO Cultivo(CultivoID, CulturaID, ParcelaID, DataInicio, DataFim, Quantidade, UnidadeID) VALUES (25, 48, 104,TO_DATE('10/12/2018','dd/mm/yyyy'), TO_DATE('', 'dd/mm/yyyy'), 30, 1);</v>
      </c>
    </row>
    <row r="27" spans="1:12" x14ac:dyDescent="0.25">
      <c r="A27" s="94">
        <v>107</v>
      </c>
      <c r="B27" t="s">
        <v>245</v>
      </c>
      <c r="C27" t="s">
        <v>246</v>
      </c>
      <c r="D27" t="s">
        <v>11</v>
      </c>
      <c r="E27" s="92">
        <v>43110</v>
      </c>
      <c r="F27" s="92"/>
      <c r="G27">
        <v>500</v>
      </c>
      <c r="H27" t="s">
        <v>200</v>
      </c>
      <c r="I27" s="76">
        <f>_xlfn.XLOOKUP(H27,Unidades!$C$3:$C$8,Unidades!$B$3:$B$8,0,0)</f>
        <v>1</v>
      </c>
      <c r="J27" s="76">
        <v>94</v>
      </c>
      <c r="K27" s="76">
        <f t="shared" si="1"/>
        <v>26</v>
      </c>
      <c r="L27" s="71" t="str">
        <f t="shared" si="0"/>
        <v>INSERT INTO Cultivo(CultivoID, CulturaID, ParcelaID, DataInicio, DataFim, Quantidade, UnidadeID) VALUES (26, 94, 107,TO_DATE('10/01/2018','dd/mm/yyyy'), TO_DATE('', 'dd/mm/yyyy'), 500, 1);</v>
      </c>
    </row>
    <row r="28" spans="1:12" x14ac:dyDescent="0.25">
      <c r="A28" s="94">
        <v>107</v>
      </c>
      <c r="B28" t="s">
        <v>245</v>
      </c>
      <c r="C28" t="s">
        <v>250</v>
      </c>
      <c r="D28" t="s">
        <v>11</v>
      </c>
      <c r="E28" s="92">
        <v>43111</v>
      </c>
      <c r="F28" s="92"/>
      <c r="G28">
        <v>700</v>
      </c>
      <c r="H28" t="s">
        <v>200</v>
      </c>
      <c r="I28" s="76">
        <f>_xlfn.XLOOKUP(H28,Unidades!$C$3:$C$8,Unidades!$B$3:$B$8,0,0)</f>
        <v>1</v>
      </c>
      <c r="J28" s="76">
        <v>95</v>
      </c>
      <c r="K28" s="76">
        <f t="shared" si="1"/>
        <v>27</v>
      </c>
      <c r="L28" s="71" t="str">
        <f t="shared" si="0"/>
        <v>INSERT INTO Cultivo(CultivoID, CulturaID, ParcelaID, DataInicio, DataFim, Quantidade, UnidadeID) VALUES (27, 95, 107,TO_DATE('11/01/2018','dd/mm/yyyy'), TO_DATE('', 'dd/mm/yyyy'), 700, 1);</v>
      </c>
    </row>
    <row r="29" spans="1:12" x14ac:dyDescent="0.25">
      <c r="I29" s="7"/>
    </row>
    <row r="31" spans="1:12" x14ac:dyDescent="0.25">
      <c r="I31" s="7"/>
    </row>
    <row r="32" spans="1:12" x14ac:dyDescent="0.25">
      <c r="I32" s="7"/>
      <c r="L32" s="9"/>
    </row>
    <row r="33" spans="9:9" x14ac:dyDescent="0.25">
      <c r="I33" s="7"/>
    </row>
  </sheetData>
  <sortState xmlns:xlrd2="http://schemas.microsoft.com/office/spreadsheetml/2017/richdata2" ref="A2:H28">
    <sortCondition ref="B2:B28"/>
    <sortCondition ref="E2:E28"/>
  </sortState>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3E431-88A0-4D26-AA21-9E0D94FE2923}">
  <dimension ref="A1:AB225"/>
  <sheetViews>
    <sheetView topLeftCell="H178" workbookViewId="0">
      <selection activeCell="W219" sqref="W219"/>
    </sheetView>
  </sheetViews>
  <sheetFormatPr defaultRowHeight="15" x14ac:dyDescent="0.25"/>
  <cols>
    <col min="1" max="1" width="15.28515625" style="7" bestFit="1" customWidth="1"/>
    <col min="2" max="2" width="23.42578125" style="7" customWidth="1"/>
    <col min="3" max="3" width="21.5703125" customWidth="1"/>
    <col min="4" max="4" width="15.140625" customWidth="1"/>
    <col min="5" max="5" width="28.5703125" bestFit="1" customWidth="1"/>
    <col min="6" max="6" width="12.42578125" customWidth="1"/>
    <col min="7" max="7" width="14" customWidth="1"/>
    <col min="9" max="10" width="14.5703125" customWidth="1"/>
    <col min="11" max="11" width="11.28515625" style="7" bestFit="1" customWidth="1"/>
    <col min="12" max="12" width="9.140625" style="7"/>
    <col min="13" max="13" width="18.7109375" style="7" bestFit="1" customWidth="1"/>
    <col min="14" max="14" width="18.7109375" style="7" customWidth="1"/>
    <col min="15" max="15" width="9.42578125" bestFit="1" customWidth="1"/>
    <col min="25" max="25" width="15.42578125" customWidth="1"/>
    <col min="27" max="27" width="48.42578125" customWidth="1"/>
  </cols>
  <sheetData>
    <row r="1" spans="1:28" x14ac:dyDescent="0.25">
      <c r="A1" s="6" t="s">
        <v>207</v>
      </c>
      <c r="B1" s="2" t="s">
        <v>176</v>
      </c>
      <c r="C1" s="2" t="s">
        <v>208</v>
      </c>
      <c r="D1" s="2" t="s">
        <v>209</v>
      </c>
      <c r="E1" s="2" t="s">
        <v>193</v>
      </c>
      <c r="F1" s="2" t="s">
        <v>210</v>
      </c>
      <c r="G1" s="2" t="s">
        <v>196</v>
      </c>
      <c r="H1" s="2" t="s">
        <v>175</v>
      </c>
      <c r="I1" s="2" t="s">
        <v>211</v>
      </c>
      <c r="J1" s="2"/>
      <c r="K1" s="6" t="s">
        <v>280</v>
      </c>
      <c r="L1" s="6" t="s">
        <v>257</v>
      </c>
      <c r="M1" s="6" t="s">
        <v>277</v>
      </c>
      <c r="N1" s="6" t="s">
        <v>268</v>
      </c>
      <c r="O1" s="103">
        <v>2</v>
      </c>
      <c r="P1" s="125" t="s">
        <v>289</v>
      </c>
      <c r="Q1" s="102"/>
      <c r="R1" s="102"/>
    </row>
    <row r="2" spans="1:28" x14ac:dyDescent="0.25">
      <c r="A2" s="7">
        <v>102</v>
      </c>
      <c r="B2" t="s">
        <v>198</v>
      </c>
      <c r="C2" t="s">
        <v>212</v>
      </c>
      <c r="E2" t="s">
        <v>199</v>
      </c>
      <c r="F2" s="1">
        <v>42649</v>
      </c>
      <c r="G2">
        <v>30</v>
      </c>
      <c r="H2" t="s">
        <v>200</v>
      </c>
      <c r="K2" s="7">
        <v>1</v>
      </c>
      <c r="L2" s="7">
        <f>_xlfn.XLOOKUP(E2,Plantas!$V$2:$V$96,Plantas!$U$2:$U$96,0,0)</f>
        <v>92</v>
      </c>
      <c r="M2" s="7" cm="1">
        <f t="array" ref="M2">_xlfn.XLOOKUP(C2,_xlfn.ANCHORARRAY($B$213),$A$213:$A$220,0,0)</f>
        <v>1</v>
      </c>
      <c r="N2" s="7">
        <f>_xlfn.XLOOKUP(H2,Unidades!$C$3:$C$8,Unidades!$B$3:$B$8,0,0)</f>
        <v>1</v>
      </c>
      <c r="O2" s="140" t="str">
        <f>"INSERT INTO Operacao(OperacaoID, CulturaID, ParcelaID, TipoOperacaoID, DataRealizacao, Quantidade, UnidadeID) VALUES ("&amp;K2&amp;", "&amp;L2&amp;", "&amp;A2&amp;", "&amp;M2&amp;",TO_DATE('"&amp;TEXT(F2,"dd/mm/aaaa")&amp;"','dd/mm/yyyy'), "&amp;SUBSTITUTE(G2,",",".")&amp;", "&amp;N2&amp;");"</f>
        <v>INSERT INTO Operacao(OperacaoID, CulturaID, ParcelaID, TipoOperacaoID, DataRealizacao, Quantidade, UnidadeID) VALUES (1, 92, 102, 1,TO_DATE('06/10/2016','dd/mm/yyyy'), 30, 1);</v>
      </c>
      <c r="P2" s="140"/>
      <c r="Q2" s="140"/>
      <c r="R2" s="140"/>
      <c r="S2" s="140"/>
      <c r="T2" s="140"/>
      <c r="U2" s="140"/>
      <c r="V2" s="140"/>
      <c r="W2" s="140"/>
      <c r="X2" s="140"/>
      <c r="Y2" s="140"/>
      <c r="Z2" s="140"/>
      <c r="AA2" s="140"/>
      <c r="AB2" s="6"/>
    </row>
    <row r="3" spans="1:28" x14ac:dyDescent="0.25">
      <c r="A3" s="7">
        <v>102</v>
      </c>
      <c r="B3" t="s">
        <v>198</v>
      </c>
      <c r="C3" t="s">
        <v>212</v>
      </c>
      <c r="E3" t="s">
        <v>201</v>
      </c>
      <c r="F3" s="1">
        <v>42653</v>
      </c>
      <c r="G3">
        <v>20</v>
      </c>
      <c r="H3" t="s">
        <v>200</v>
      </c>
      <c r="K3" s="7">
        <f>K2+1</f>
        <v>2</v>
      </c>
      <c r="L3" s="7">
        <f>_xlfn.XLOOKUP(E3,Plantas!$V$2:$V$96,Plantas!$U$2:$U$96,0,0)</f>
        <v>89</v>
      </c>
      <c r="M3" s="7" cm="1">
        <f t="array" ref="M3">_xlfn.XLOOKUP(C3,_xlfn.ANCHORARRAY($B$213),$A$213:$A$220,0,0)</f>
        <v>1</v>
      </c>
      <c r="N3" s="7">
        <f>_xlfn.XLOOKUP(H3,Unidades!$C$3:$C$8,Unidades!$B$3:$B$8,0,0)</f>
        <v>1</v>
      </c>
      <c r="O3" s="140" t="str">
        <f t="shared" ref="O3:O66" si="0">"INSERT INTO Operacao(OperacaoID, CulturaID, ParcelaID, TipoOperacaoID, DataRealizacao, Quantidade, UnidadeID) VALUES ("&amp;K3&amp;", "&amp;L3&amp;", "&amp;A3&amp;", "&amp;M3&amp;",TO_DATE('"&amp;TEXT(F3,"dd/mm/aaaa")&amp;"','dd/mm/yyyy'), "&amp;SUBSTITUTE(G3,",",".")&amp;", "&amp;N3&amp;");"</f>
        <v>INSERT INTO Operacao(OperacaoID, CulturaID, ParcelaID, TipoOperacaoID, DataRealizacao, Quantidade, UnidadeID) VALUES (2, 89, 102, 1,TO_DATE('10/10/2016','dd/mm/yyyy'), 20, 1);</v>
      </c>
      <c r="P3" s="140"/>
      <c r="Q3" s="140"/>
      <c r="R3" s="140"/>
      <c r="S3" s="140"/>
      <c r="T3" s="140"/>
      <c r="U3" s="140"/>
      <c r="V3" s="140"/>
      <c r="W3" s="140"/>
      <c r="X3" s="140"/>
      <c r="Y3" s="140"/>
      <c r="Z3" s="140"/>
      <c r="AA3" s="140"/>
    </row>
    <row r="4" spans="1:28" x14ac:dyDescent="0.25">
      <c r="A4" s="7">
        <v>104</v>
      </c>
      <c r="B4" t="s">
        <v>181</v>
      </c>
      <c r="C4" t="s">
        <v>212</v>
      </c>
      <c r="E4" t="s">
        <v>202</v>
      </c>
      <c r="F4" s="1">
        <v>42742</v>
      </c>
      <c r="G4">
        <v>90</v>
      </c>
      <c r="H4" t="s">
        <v>200</v>
      </c>
      <c r="K4" s="7">
        <f t="shared" ref="K4:K67" si="1">K3+1</f>
        <v>3</v>
      </c>
      <c r="L4" s="7">
        <f>_xlfn.XLOOKUP(E4,Plantas!$V$2:$V$96,Plantas!$U$2:$U$96,0,0)</f>
        <v>41</v>
      </c>
      <c r="M4" s="7" cm="1">
        <f t="array" ref="M4">_xlfn.XLOOKUP(C4,_xlfn.ANCHORARRAY($B$213),$A$213:$A$220,0,0)</f>
        <v>1</v>
      </c>
      <c r="N4" s="7">
        <f>_xlfn.XLOOKUP(H4,Unidades!$C$3:$C$8,Unidades!$B$3:$B$8,0,0)</f>
        <v>1</v>
      </c>
      <c r="O4" s="140" t="str">
        <f t="shared" si="0"/>
        <v>INSERT INTO Operacao(OperacaoID, CulturaID, ParcelaID, TipoOperacaoID, DataRealizacao, Quantidade, UnidadeID) VALUES (3, 41, 104, 1,TO_DATE('07/01/2017','dd/mm/yyyy'), 90, 1);</v>
      </c>
      <c r="P4" s="140"/>
      <c r="Q4" s="140"/>
      <c r="R4" s="140"/>
      <c r="S4" s="140"/>
      <c r="T4" s="140"/>
      <c r="U4" s="140"/>
      <c r="V4" s="140"/>
      <c r="W4" s="140"/>
      <c r="X4" s="140"/>
      <c r="Y4" s="140"/>
      <c r="Z4" s="140"/>
      <c r="AA4" s="140"/>
    </row>
    <row r="5" spans="1:28" x14ac:dyDescent="0.25">
      <c r="A5" s="7">
        <v>104</v>
      </c>
      <c r="B5" t="s">
        <v>181</v>
      </c>
      <c r="C5" t="s">
        <v>212</v>
      </c>
      <c r="E5" t="s">
        <v>203</v>
      </c>
      <c r="F5" s="1">
        <v>42743</v>
      </c>
      <c r="G5">
        <v>60</v>
      </c>
      <c r="H5" t="s">
        <v>200</v>
      </c>
      <c r="K5" s="7">
        <f t="shared" si="1"/>
        <v>4</v>
      </c>
      <c r="L5" s="7">
        <f>_xlfn.XLOOKUP(E5,Plantas!$V$2:$V$96,Plantas!$U$2:$U$96,0,0)</f>
        <v>37</v>
      </c>
      <c r="M5" s="7" cm="1">
        <f t="array" ref="M5">_xlfn.XLOOKUP(C5,_xlfn.ANCHORARRAY($B$213),$A$213:$A$220,0,0)</f>
        <v>1</v>
      </c>
      <c r="N5" s="7">
        <f>_xlfn.XLOOKUP(H5,Unidades!$C$3:$C$8,Unidades!$B$3:$B$8,0,0)</f>
        <v>1</v>
      </c>
      <c r="O5" s="140" t="str">
        <f t="shared" si="0"/>
        <v>INSERT INTO Operacao(OperacaoID, CulturaID, ParcelaID, TipoOperacaoID, DataRealizacao, Quantidade, UnidadeID) VALUES (4, 37, 104, 1,TO_DATE('08/01/2017','dd/mm/yyyy'), 60, 1);</v>
      </c>
      <c r="P5" s="140"/>
      <c r="Q5" s="140"/>
      <c r="R5" s="140"/>
      <c r="S5" s="140"/>
      <c r="T5" s="140"/>
      <c r="U5" s="140"/>
      <c r="V5" s="140"/>
      <c r="W5" s="140"/>
      <c r="X5" s="140"/>
      <c r="Y5" s="140"/>
      <c r="Z5" s="140"/>
      <c r="AA5" s="140"/>
    </row>
    <row r="6" spans="1:28" x14ac:dyDescent="0.25">
      <c r="A6" s="7">
        <v>104</v>
      </c>
      <c r="B6" t="s">
        <v>181</v>
      </c>
      <c r="C6" t="s">
        <v>212</v>
      </c>
      <c r="E6" t="s">
        <v>204</v>
      </c>
      <c r="F6" s="1">
        <v>42743</v>
      </c>
      <c r="G6">
        <v>40</v>
      </c>
      <c r="H6" t="s">
        <v>200</v>
      </c>
      <c r="K6" s="7">
        <f t="shared" si="1"/>
        <v>5</v>
      </c>
      <c r="L6" s="7">
        <f>_xlfn.XLOOKUP(E6,Plantas!$V$2:$V$96,Plantas!$U$2:$U$96,0,0)</f>
        <v>48</v>
      </c>
      <c r="M6" s="7" cm="1">
        <f t="array" ref="M6">_xlfn.XLOOKUP(C6,_xlfn.ANCHORARRAY($B$213),$A$213:$A$220,0,0)</f>
        <v>1</v>
      </c>
      <c r="N6" s="7">
        <f>_xlfn.XLOOKUP(H6,Unidades!$C$3:$C$8,Unidades!$B$3:$B$8,0,0)</f>
        <v>1</v>
      </c>
      <c r="O6" s="140" t="str">
        <f t="shared" si="0"/>
        <v>INSERT INTO Operacao(OperacaoID, CulturaID, ParcelaID, TipoOperacaoID, DataRealizacao, Quantidade, UnidadeID) VALUES (5, 48, 104, 1,TO_DATE('08/01/2017','dd/mm/yyyy'), 40, 1);</v>
      </c>
      <c r="P6" s="140"/>
      <c r="Q6" s="140"/>
      <c r="R6" s="140"/>
      <c r="S6" s="140"/>
      <c r="T6" s="140"/>
      <c r="U6" s="140"/>
      <c r="V6" s="140"/>
      <c r="W6" s="140"/>
      <c r="X6" s="140"/>
      <c r="Y6" s="140"/>
      <c r="Z6" s="140"/>
      <c r="AA6" s="140"/>
    </row>
    <row r="7" spans="1:28" x14ac:dyDescent="0.25">
      <c r="A7" s="7">
        <v>102</v>
      </c>
      <c r="B7" t="s">
        <v>198</v>
      </c>
      <c r="C7" t="s">
        <v>190</v>
      </c>
      <c r="E7" t="s">
        <v>201</v>
      </c>
      <c r="F7" s="1">
        <v>42919</v>
      </c>
      <c r="G7">
        <v>0.4</v>
      </c>
      <c r="H7" t="s">
        <v>192</v>
      </c>
      <c r="K7" s="7">
        <f t="shared" si="1"/>
        <v>6</v>
      </c>
      <c r="L7" s="7">
        <f>_xlfn.XLOOKUP(E7,Plantas!$V$2:$V$96,Plantas!$U$2:$U$96,0,0)</f>
        <v>89</v>
      </c>
      <c r="M7" s="7" cm="1">
        <f t="array" ref="M7">_xlfn.XLOOKUP(C7,_xlfn.ANCHORARRAY($B$213),$A$213:$A$220,0,0)</f>
        <v>2</v>
      </c>
      <c r="N7" s="7">
        <f>_xlfn.XLOOKUP(H7,Unidades!$C$3:$C$8,Unidades!$B$3:$B$8,0,0)</f>
        <v>2</v>
      </c>
      <c r="O7" s="140" t="str">
        <f t="shared" si="0"/>
        <v>INSERT INTO Operacao(OperacaoID, CulturaID, ParcelaID, TipoOperacaoID, DataRealizacao, Quantidade, UnidadeID) VALUES (6, 89, 102, 2,TO_DATE('03/07/2017','dd/mm/yyyy'), 0.4, 2);</v>
      </c>
      <c r="P7" s="140"/>
      <c r="Q7" s="140"/>
      <c r="R7" s="140"/>
      <c r="S7" s="140"/>
      <c r="T7" s="140"/>
      <c r="U7" s="140"/>
      <c r="V7" s="140"/>
      <c r="W7" s="140"/>
      <c r="X7" s="140"/>
      <c r="Y7" s="140"/>
      <c r="Z7" s="140"/>
      <c r="AA7" s="140"/>
    </row>
    <row r="8" spans="1:28" x14ac:dyDescent="0.25">
      <c r="A8" s="7">
        <v>102</v>
      </c>
      <c r="B8" t="s">
        <v>198</v>
      </c>
      <c r="C8" t="s">
        <v>190</v>
      </c>
      <c r="E8" t="s">
        <v>199</v>
      </c>
      <c r="F8" s="1">
        <v>42919</v>
      </c>
      <c r="G8">
        <v>0.9</v>
      </c>
      <c r="H8" t="s">
        <v>192</v>
      </c>
      <c r="K8" s="7">
        <f t="shared" si="1"/>
        <v>7</v>
      </c>
      <c r="L8" s="7">
        <f>_xlfn.XLOOKUP(E8,Plantas!$V$2:$V$96,Plantas!$U$2:$U$96,0,0)</f>
        <v>92</v>
      </c>
      <c r="M8" s="7" cm="1">
        <f t="array" ref="M8">_xlfn.XLOOKUP(C8,_xlfn.ANCHORARRAY($B$213),$A$213:$A$220,0,0)</f>
        <v>2</v>
      </c>
      <c r="N8" s="7">
        <f>_xlfn.XLOOKUP(H8,Unidades!$C$3:$C$8,Unidades!$B$3:$B$8,0,0)</f>
        <v>2</v>
      </c>
      <c r="O8" s="140" t="str">
        <f t="shared" si="0"/>
        <v>INSERT INTO Operacao(OperacaoID, CulturaID, ParcelaID, TipoOperacaoID, DataRealizacao, Quantidade, UnidadeID) VALUES (7, 92, 102, 2,TO_DATE('03/07/2017','dd/mm/yyyy'), 0.9, 2);</v>
      </c>
      <c r="P8" s="140"/>
      <c r="Q8" s="140"/>
      <c r="R8" s="140"/>
      <c r="S8" s="140"/>
      <c r="T8" s="140"/>
      <c r="U8" s="140"/>
      <c r="V8" s="140"/>
      <c r="W8" s="140"/>
      <c r="X8" s="140"/>
      <c r="Y8" s="140"/>
      <c r="Z8" s="140"/>
      <c r="AA8" s="140"/>
    </row>
    <row r="9" spans="1:28" x14ac:dyDescent="0.25">
      <c r="A9" s="7">
        <v>104</v>
      </c>
      <c r="B9" t="s">
        <v>181</v>
      </c>
      <c r="C9" t="s">
        <v>190</v>
      </c>
      <c r="E9" t="s">
        <v>48</v>
      </c>
      <c r="F9" s="1">
        <v>42926</v>
      </c>
      <c r="G9">
        <v>3</v>
      </c>
      <c r="H9" t="s">
        <v>192</v>
      </c>
      <c r="K9" s="7">
        <f t="shared" si="1"/>
        <v>8</v>
      </c>
      <c r="L9" s="7">
        <f>_xlfn.XLOOKUP(E9,Plantas!$V$2:$V$96,Plantas!$U$2:$U$96,0,0)</f>
        <v>0</v>
      </c>
      <c r="M9" s="7" cm="1">
        <f t="array" ref="M9">_xlfn.XLOOKUP(C9,_xlfn.ANCHORARRAY($B$213),$A$213:$A$220,0,0)</f>
        <v>2</v>
      </c>
      <c r="N9" s="7">
        <f>_xlfn.XLOOKUP(H9,Unidades!$C$3:$C$8,Unidades!$B$3:$B$8,0,0)</f>
        <v>2</v>
      </c>
      <c r="O9" s="140" t="str">
        <f t="shared" si="0"/>
        <v>INSERT INTO Operacao(OperacaoID, CulturaID, ParcelaID, TipoOperacaoID, DataRealizacao, Quantidade, UnidadeID) VALUES (8, 0, 104, 2,TO_DATE('10/07/2017','dd/mm/yyyy'), 3, 2);</v>
      </c>
      <c r="P9" s="140"/>
      <c r="Q9" s="140"/>
      <c r="R9" s="140"/>
      <c r="S9" s="140"/>
      <c r="T9" s="140"/>
      <c r="U9" s="140"/>
      <c r="V9" s="140"/>
      <c r="W9" s="140"/>
      <c r="X9" s="140"/>
      <c r="Y9" s="140"/>
      <c r="Z9" s="140"/>
      <c r="AA9" s="140"/>
    </row>
    <row r="10" spans="1:28" x14ac:dyDescent="0.25">
      <c r="A10" s="7">
        <v>102</v>
      </c>
      <c r="B10" t="s">
        <v>198</v>
      </c>
      <c r="C10" t="s">
        <v>190</v>
      </c>
      <c r="E10" t="s">
        <v>201</v>
      </c>
      <c r="F10" s="1">
        <v>42957</v>
      </c>
      <c r="G10">
        <v>0.4</v>
      </c>
      <c r="H10" t="s">
        <v>192</v>
      </c>
      <c r="K10" s="7">
        <f t="shared" si="1"/>
        <v>9</v>
      </c>
      <c r="L10" s="7">
        <f>_xlfn.XLOOKUP(E10,Plantas!$V$2:$V$96,Plantas!$U$2:$U$96,0,0)</f>
        <v>89</v>
      </c>
      <c r="M10" s="7" cm="1">
        <f t="array" ref="M10">_xlfn.XLOOKUP(C10,_xlfn.ANCHORARRAY($B$213),$A$213:$A$220,0,0)</f>
        <v>2</v>
      </c>
      <c r="N10" s="7">
        <f>_xlfn.XLOOKUP(H10,Unidades!$C$3:$C$8,Unidades!$B$3:$B$8,0,0)</f>
        <v>2</v>
      </c>
      <c r="O10" s="140" t="str">
        <f t="shared" si="0"/>
        <v>INSERT INTO Operacao(OperacaoID, CulturaID, ParcelaID, TipoOperacaoID, DataRealizacao, Quantidade, UnidadeID) VALUES (9, 89, 102, 2,TO_DATE('10/08/2017','dd/mm/yyyy'), 0.4, 2);</v>
      </c>
      <c r="P10" s="140"/>
      <c r="Q10" s="140"/>
      <c r="R10" s="140"/>
      <c r="S10" s="140"/>
      <c r="T10" s="140"/>
      <c r="U10" s="140"/>
      <c r="V10" s="140"/>
      <c r="W10" s="140"/>
      <c r="X10" s="140"/>
      <c r="Y10" s="140"/>
      <c r="Z10" s="140"/>
      <c r="AA10" s="140"/>
    </row>
    <row r="11" spans="1:28" x14ac:dyDescent="0.25">
      <c r="A11" s="7">
        <v>102</v>
      </c>
      <c r="B11" t="s">
        <v>198</v>
      </c>
      <c r="C11" t="s">
        <v>190</v>
      </c>
      <c r="E11" t="s">
        <v>199</v>
      </c>
      <c r="F11" s="1">
        <v>42957</v>
      </c>
      <c r="G11">
        <v>0.9</v>
      </c>
      <c r="H11" t="s">
        <v>192</v>
      </c>
      <c r="K11" s="7">
        <f t="shared" si="1"/>
        <v>10</v>
      </c>
      <c r="L11" s="7">
        <f>_xlfn.XLOOKUP(E11,Plantas!$V$2:$V$96,Plantas!$U$2:$U$96,0,0)</f>
        <v>92</v>
      </c>
      <c r="M11" s="7" cm="1">
        <f t="array" ref="M11">_xlfn.XLOOKUP(C11,_xlfn.ANCHORARRAY($B$213),$A$213:$A$220,0,0)</f>
        <v>2</v>
      </c>
      <c r="N11" s="7">
        <f>_xlfn.XLOOKUP(H11,Unidades!$C$3:$C$8,Unidades!$B$3:$B$8,0,0)</f>
        <v>2</v>
      </c>
      <c r="O11" s="140" t="str">
        <f t="shared" si="0"/>
        <v>INSERT INTO Operacao(OperacaoID, CulturaID, ParcelaID, TipoOperacaoID, DataRealizacao, Quantidade, UnidadeID) VALUES (10, 92, 102, 2,TO_DATE('10/08/2017','dd/mm/yyyy'), 0.9, 2);</v>
      </c>
      <c r="P11" s="140"/>
      <c r="Q11" s="140"/>
      <c r="R11" s="140"/>
      <c r="S11" s="140"/>
      <c r="T11" s="140"/>
      <c r="U11" s="140"/>
      <c r="V11" s="140"/>
      <c r="W11" s="140"/>
      <c r="X11" s="140"/>
      <c r="Y11" s="140"/>
      <c r="Z11" s="140"/>
      <c r="AA11" s="140"/>
    </row>
    <row r="12" spans="1:28" x14ac:dyDescent="0.25">
      <c r="A12" s="7">
        <v>104</v>
      </c>
      <c r="B12" t="s">
        <v>181</v>
      </c>
      <c r="C12" t="s">
        <v>190</v>
      </c>
      <c r="E12" t="s">
        <v>48</v>
      </c>
      <c r="F12" s="1">
        <v>42957</v>
      </c>
      <c r="G12">
        <v>3.5</v>
      </c>
      <c r="H12" t="s">
        <v>192</v>
      </c>
      <c r="K12" s="7">
        <f t="shared" si="1"/>
        <v>11</v>
      </c>
      <c r="L12" s="7">
        <f>_xlfn.XLOOKUP(E12,Plantas!$V$2:$V$96,Plantas!$U$2:$U$96,0,0)</f>
        <v>0</v>
      </c>
      <c r="M12" s="7" cm="1">
        <f t="array" ref="M12">_xlfn.XLOOKUP(C12,_xlfn.ANCHORARRAY($B$213),$A$213:$A$220,0,0)</f>
        <v>2</v>
      </c>
      <c r="N12" s="7">
        <f>_xlfn.XLOOKUP(H12,Unidades!$C$3:$C$8,Unidades!$B$3:$B$8,0,0)</f>
        <v>2</v>
      </c>
      <c r="O12" s="140" t="str">
        <f t="shared" si="0"/>
        <v>INSERT INTO Operacao(OperacaoID, CulturaID, ParcelaID, TipoOperacaoID, DataRealizacao, Quantidade, UnidadeID) VALUES (11, 0, 104, 2,TO_DATE('10/08/2017','dd/mm/yyyy'), 3.5, 2);</v>
      </c>
      <c r="P12" s="140"/>
      <c r="Q12" s="140"/>
      <c r="R12" s="140"/>
      <c r="S12" s="140"/>
      <c r="T12" s="140"/>
      <c r="U12" s="140"/>
      <c r="V12" s="140"/>
      <c r="W12" s="140"/>
      <c r="X12" s="140"/>
      <c r="Y12" s="140"/>
      <c r="Z12" s="140"/>
      <c r="AA12" s="140"/>
    </row>
    <row r="13" spans="1:28" x14ac:dyDescent="0.25">
      <c r="A13" s="7">
        <v>104</v>
      </c>
      <c r="B13" t="s">
        <v>181</v>
      </c>
      <c r="C13" t="s">
        <v>190</v>
      </c>
      <c r="E13" t="s">
        <v>48</v>
      </c>
      <c r="F13" s="1">
        <v>42988</v>
      </c>
      <c r="G13">
        <v>3</v>
      </c>
      <c r="H13" t="s">
        <v>192</v>
      </c>
      <c r="K13" s="7">
        <f t="shared" si="1"/>
        <v>12</v>
      </c>
      <c r="L13" s="7">
        <f>_xlfn.XLOOKUP(E13,Plantas!$V$2:$V$96,Plantas!$U$2:$U$96,0,0)</f>
        <v>0</v>
      </c>
      <c r="M13" s="7" cm="1">
        <f t="array" ref="M13">_xlfn.XLOOKUP(C13,_xlfn.ANCHORARRAY($B$213),$A$213:$A$220,0,0)</f>
        <v>2</v>
      </c>
      <c r="N13" s="7">
        <f>_xlfn.XLOOKUP(H13,Unidades!$C$3:$C$8,Unidades!$B$3:$B$8,0,0)</f>
        <v>2</v>
      </c>
      <c r="O13" s="140" t="str">
        <f t="shared" si="0"/>
        <v>INSERT INTO Operacao(OperacaoID, CulturaID, ParcelaID, TipoOperacaoID, DataRealizacao, Quantidade, UnidadeID) VALUES (12, 0, 104, 2,TO_DATE('10/09/2017','dd/mm/yyyy'), 3, 2);</v>
      </c>
      <c r="P13" s="140"/>
      <c r="Q13" s="140"/>
      <c r="R13" s="140"/>
      <c r="S13" s="140"/>
      <c r="T13" s="140"/>
      <c r="U13" s="140"/>
      <c r="V13" s="140"/>
      <c r="W13" s="140"/>
      <c r="X13" s="140"/>
      <c r="Y13" s="140"/>
      <c r="Z13" s="140"/>
      <c r="AA13" s="140"/>
    </row>
    <row r="14" spans="1:28" x14ac:dyDescent="0.25">
      <c r="A14" s="7">
        <v>102</v>
      </c>
      <c r="B14" t="s">
        <v>198</v>
      </c>
      <c r="C14" t="s">
        <v>5</v>
      </c>
      <c r="E14" t="s">
        <v>199</v>
      </c>
      <c r="F14" s="1">
        <v>43043</v>
      </c>
      <c r="G14">
        <v>30</v>
      </c>
      <c r="H14" t="s">
        <v>200</v>
      </c>
      <c r="K14" s="7">
        <f t="shared" si="1"/>
        <v>13</v>
      </c>
      <c r="L14" s="7">
        <f>_xlfn.XLOOKUP(E14,Plantas!$V$2:$V$96,Plantas!$U$2:$U$96,0,0)</f>
        <v>92</v>
      </c>
      <c r="M14" s="7" cm="1">
        <f t="array" ref="M14">_xlfn.XLOOKUP(C14,_xlfn.ANCHORARRAY($B$213),$A$213:$A$220,0,0)</f>
        <v>3</v>
      </c>
      <c r="N14" s="7">
        <f>_xlfn.XLOOKUP(H14,Unidades!$C$3:$C$8,Unidades!$B$3:$B$8,0,0)</f>
        <v>1</v>
      </c>
      <c r="O14" s="140" t="str">
        <f t="shared" si="0"/>
        <v>INSERT INTO Operacao(OperacaoID, CulturaID, ParcelaID, TipoOperacaoID, DataRealizacao, Quantidade, UnidadeID) VALUES (13, 92, 102, 3,TO_DATE('04/11/2017','dd/mm/yyyy'), 30, 1);</v>
      </c>
      <c r="P14" s="140"/>
      <c r="Q14" s="140"/>
      <c r="R14" s="140"/>
      <c r="S14" s="140"/>
      <c r="T14" s="140"/>
      <c r="U14" s="140"/>
      <c r="V14" s="140"/>
      <c r="W14" s="140"/>
      <c r="X14" s="140"/>
      <c r="Y14" s="140"/>
      <c r="Z14" s="140"/>
      <c r="AA14" s="140"/>
    </row>
    <row r="15" spans="1:28" x14ac:dyDescent="0.25">
      <c r="A15" s="7">
        <v>102</v>
      </c>
      <c r="B15" t="s">
        <v>198</v>
      </c>
      <c r="C15" t="s">
        <v>5</v>
      </c>
      <c r="E15" t="s">
        <v>201</v>
      </c>
      <c r="F15" s="1">
        <v>43043</v>
      </c>
      <c r="G15">
        <v>20</v>
      </c>
      <c r="H15" t="s">
        <v>200</v>
      </c>
      <c r="K15" s="7">
        <f t="shared" si="1"/>
        <v>14</v>
      </c>
      <c r="L15" s="7">
        <f>_xlfn.XLOOKUP(E15,Plantas!$V$2:$V$96,Plantas!$U$2:$U$96,0,0)</f>
        <v>89</v>
      </c>
      <c r="M15" s="7" cm="1">
        <f t="array" ref="M15">_xlfn.XLOOKUP(C15,_xlfn.ANCHORARRAY($B$213),$A$213:$A$220,0,0)</f>
        <v>3</v>
      </c>
      <c r="N15" s="7">
        <f>_xlfn.XLOOKUP(H15,Unidades!$C$3:$C$8,Unidades!$B$3:$B$8,0,0)</f>
        <v>1</v>
      </c>
      <c r="O15" s="140" t="str">
        <f t="shared" si="0"/>
        <v>INSERT INTO Operacao(OperacaoID, CulturaID, ParcelaID, TipoOperacaoID, DataRealizacao, Quantidade, UnidadeID) VALUES (14, 89, 102, 3,TO_DATE('04/11/2017','dd/mm/yyyy'), 20, 1);</v>
      </c>
      <c r="P15" s="140"/>
      <c r="Q15" s="140"/>
      <c r="R15" s="140"/>
      <c r="S15" s="140"/>
      <c r="T15" s="140"/>
      <c r="U15" s="140"/>
      <c r="V15" s="140"/>
      <c r="W15" s="140"/>
      <c r="X15" s="140"/>
      <c r="Y15" s="140"/>
      <c r="Z15" s="140"/>
      <c r="AA15" s="140"/>
    </row>
    <row r="16" spans="1:28" x14ac:dyDescent="0.25">
      <c r="A16" s="7">
        <v>102</v>
      </c>
      <c r="B16" t="s">
        <v>198</v>
      </c>
      <c r="C16" t="s">
        <v>215</v>
      </c>
      <c r="D16" t="s">
        <v>227</v>
      </c>
      <c r="E16" t="s">
        <v>199</v>
      </c>
      <c r="F16" s="1">
        <v>43079</v>
      </c>
      <c r="G16">
        <v>15</v>
      </c>
      <c r="H16" t="s">
        <v>217</v>
      </c>
      <c r="I16" t="s">
        <v>151</v>
      </c>
      <c r="K16" s="7">
        <f t="shared" si="1"/>
        <v>15</v>
      </c>
      <c r="L16" s="7">
        <f>_xlfn.XLOOKUP(E16,Plantas!$V$2:$V$96,Plantas!$U$2:$U$96,0,0)</f>
        <v>92</v>
      </c>
      <c r="M16" s="7" cm="1">
        <f t="array" ref="M16">_xlfn.XLOOKUP(C16,_xlfn.ANCHORARRAY($B$213),$A$213:$A$220,0,0)</f>
        <v>4</v>
      </c>
      <c r="N16" s="7">
        <f>_xlfn.XLOOKUP(H16,Unidades!$C$3:$C$8,Unidades!$B$3:$B$8,0,0)</f>
        <v>3</v>
      </c>
      <c r="O16" s="140" t="str">
        <f t="shared" si="0"/>
        <v>INSERT INTO Operacao(OperacaoID, CulturaID, ParcelaID, TipoOperacaoID, DataRealizacao, Quantidade, UnidadeID) VALUES (15, 92, 102, 4,TO_DATE('10/12/2017','dd/mm/yyyy'), 15, 3);</v>
      </c>
      <c r="P16" s="140"/>
      <c r="Q16" s="140"/>
      <c r="R16" s="140"/>
      <c r="S16" s="140"/>
      <c r="T16" s="140"/>
      <c r="U16" s="140"/>
      <c r="V16" s="140"/>
      <c r="W16" s="140"/>
      <c r="X16" s="140"/>
      <c r="Y16" s="140"/>
      <c r="Z16" s="140"/>
      <c r="AA16" s="140"/>
    </row>
    <row r="17" spans="1:27" x14ac:dyDescent="0.25">
      <c r="A17" s="7">
        <v>102</v>
      </c>
      <c r="B17" t="s">
        <v>198</v>
      </c>
      <c r="C17" t="s">
        <v>215</v>
      </c>
      <c r="D17" t="s">
        <v>227</v>
      </c>
      <c r="E17" t="s">
        <v>201</v>
      </c>
      <c r="F17" s="1">
        <v>43079</v>
      </c>
      <c r="G17">
        <v>10</v>
      </c>
      <c r="H17" t="s">
        <v>217</v>
      </c>
      <c r="I17" t="s">
        <v>151</v>
      </c>
      <c r="K17" s="7">
        <f t="shared" si="1"/>
        <v>16</v>
      </c>
      <c r="L17" s="7">
        <f>_xlfn.XLOOKUP(E17,Plantas!$V$2:$V$96,Plantas!$U$2:$U$96,0,0)</f>
        <v>89</v>
      </c>
      <c r="M17" s="7" cm="1">
        <f t="array" ref="M17">_xlfn.XLOOKUP(C17,_xlfn.ANCHORARRAY($B$213),$A$213:$A$220,0,0)</f>
        <v>4</v>
      </c>
      <c r="N17" s="7">
        <f>_xlfn.XLOOKUP(H17,Unidades!$C$3:$C$8,Unidades!$B$3:$B$8,0,0)</f>
        <v>3</v>
      </c>
      <c r="O17" s="140" t="str">
        <f t="shared" si="0"/>
        <v>INSERT INTO Operacao(OperacaoID, CulturaID, ParcelaID, TipoOperacaoID, DataRealizacao, Quantidade, UnidadeID) VALUES (16, 89, 102, 4,TO_DATE('10/12/2017','dd/mm/yyyy'), 10, 3);</v>
      </c>
      <c r="P17" s="140"/>
      <c r="Q17" s="140"/>
      <c r="R17" s="140"/>
      <c r="S17" s="140"/>
      <c r="T17" s="140"/>
      <c r="U17" s="140"/>
      <c r="V17" s="140"/>
      <c r="W17" s="140"/>
      <c r="X17" s="140"/>
      <c r="Y17" s="140"/>
      <c r="Z17" s="140"/>
      <c r="AA17" s="140"/>
    </row>
    <row r="18" spans="1:27" x14ac:dyDescent="0.25">
      <c r="A18" s="7">
        <v>104</v>
      </c>
      <c r="B18" t="s">
        <v>181</v>
      </c>
      <c r="C18" t="s">
        <v>5</v>
      </c>
      <c r="E18" t="s">
        <v>202</v>
      </c>
      <c r="F18" s="1">
        <v>43107</v>
      </c>
      <c r="G18">
        <v>90</v>
      </c>
      <c r="H18" t="s">
        <v>200</v>
      </c>
      <c r="K18" s="7">
        <f t="shared" si="1"/>
        <v>17</v>
      </c>
      <c r="L18" s="7">
        <f>_xlfn.XLOOKUP(E18,Plantas!$V$2:$V$96,Plantas!$U$2:$U$96,0,0)</f>
        <v>41</v>
      </c>
      <c r="M18" s="7" cm="1">
        <f t="array" ref="M18">_xlfn.XLOOKUP(C18,_xlfn.ANCHORARRAY($B$213),$A$213:$A$220,0,0)</f>
        <v>3</v>
      </c>
      <c r="N18" s="7">
        <f>_xlfn.XLOOKUP(H18,Unidades!$C$3:$C$8,Unidades!$B$3:$B$8,0,0)</f>
        <v>1</v>
      </c>
      <c r="O18" s="140" t="str">
        <f t="shared" si="0"/>
        <v>INSERT INTO Operacao(OperacaoID, CulturaID, ParcelaID, TipoOperacaoID, DataRealizacao, Quantidade, UnidadeID) VALUES (17, 41, 104, 3,TO_DATE('07/01/2018','dd/mm/yyyy'), 90, 1);</v>
      </c>
      <c r="P18" s="140"/>
      <c r="Q18" s="140"/>
      <c r="R18" s="140"/>
      <c r="S18" s="140"/>
      <c r="T18" s="140"/>
      <c r="U18" s="140"/>
      <c r="V18" s="140"/>
      <c r="W18" s="140"/>
      <c r="X18" s="140"/>
      <c r="Y18" s="140"/>
      <c r="Z18" s="140"/>
      <c r="AA18" s="140"/>
    </row>
    <row r="19" spans="1:27" x14ac:dyDescent="0.25">
      <c r="A19" s="7">
        <v>104</v>
      </c>
      <c r="B19" t="s">
        <v>181</v>
      </c>
      <c r="C19" t="s">
        <v>5</v>
      </c>
      <c r="E19" t="s">
        <v>203</v>
      </c>
      <c r="F19" s="1">
        <v>43108</v>
      </c>
      <c r="G19">
        <v>60</v>
      </c>
      <c r="H19" t="s">
        <v>200</v>
      </c>
      <c r="K19" s="7">
        <f t="shared" si="1"/>
        <v>18</v>
      </c>
      <c r="L19" s="7">
        <f>_xlfn.XLOOKUP(E19,Plantas!$V$2:$V$96,Plantas!$U$2:$U$96,0,0)</f>
        <v>37</v>
      </c>
      <c r="M19" s="7" cm="1">
        <f t="array" ref="M19">_xlfn.XLOOKUP(C19,_xlfn.ANCHORARRAY($B$213),$A$213:$A$220,0,0)</f>
        <v>3</v>
      </c>
      <c r="N19" s="7">
        <f>_xlfn.XLOOKUP(H19,Unidades!$C$3:$C$8,Unidades!$B$3:$B$8,0,0)</f>
        <v>1</v>
      </c>
      <c r="O19" s="140" t="str">
        <f t="shared" si="0"/>
        <v>INSERT INTO Operacao(OperacaoID, CulturaID, ParcelaID, TipoOperacaoID, DataRealizacao, Quantidade, UnidadeID) VALUES (18, 37, 104, 3,TO_DATE('08/01/2018','dd/mm/yyyy'), 60, 1);</v>
      </c>
      <c r="P19" s="140"/>
      <c r="Q19" s="140"/>
      <c r="R19" s="140"/>
      <c r="S19" s="140"/>
      <c r="T19" s="140"/>
      <c r="U19" s="140"/>
      <c r="V19" s="140"/>
      <c r="W19" s="140"/>
      <c r="X19" s="140"/>
      <c r="Y19" s="140"/>
      <c r="Z19" s="140"/>
      <c r="AA19" s="140"/>
    </row>
    <row r="20" spans="1:27" x14ac:dyDescent="0.25">
      <c r="A20" s="7">
        <v>104</v>
      </c>
      <c r="B20" t="s">
        <v>181</v>
      </c>
      <c r="C20" t="s">
        <v>5</v>
      </c>
      <c r="E20" t="s">
        <v>204</v>
      </c>
      <c r="F20" s="1">
        <v>43108</v>
      </c>
      <c r="G20">
        <v>40</v>
      </c>
      <c r="H20" t="s">
        <v>200</v>
      </c>
      <c r="K20" s="7">
        <f t="shared" si="1"/>
        <v>19</v>
      </c>
      <c r="L20" s="7">
        <f>_xlfn.XLOOKUP(E20,Plantas!$V$2:$V$96,Plantas!$U$2:$U$96,0,0)</f>
        <v>48</v>
      </c>
      <c r="M20" s="7" cm="1">
        <f t="array" ref="M20">_xlfn.XLOOKUP(C20,_xlfn.ANCHORARRAY($B$213),$A$213:$A$220,0,0)</f>
        <v>3</v>
      </c>
      <c r="N20" s="7">
        <f>_xlfn.XLOOKUP(H20,Unidades!$C$3:$C$8,Unidades!$B$3:$B$8,0,0)</f>
        <v>1</v>
      </c>
      <c r="O20" s="140" t="str">
        <f t="shared" si="0"/>
        <v>INSERT INTO Operacao(OperacaoID, CulturaID, ParcelaID, TipoOperacaoID, DataRealizacao, Quantidade, UnidadeID) VALUES (19, 48, 104, 3,TO_DATE('08/01/2018','dd/mm/yyyy'), 40, 1);</v>
      </c>
      <c r="P20" s="140"/>
      <c r="Q20" s="140"/>
      <c r="R20" s="140"/>
      <c r="S20" s="140"/>
      <c r="T20" s="140"/>
      <c r="U20" s="140"/>
      <c r="V20" s="140"/>
      <c r="W20" s="140"/>
      <c r="X20" s="140"/>
      <c r="Y20" s="140"/>
      <c r="Z20" s="140"/>
      <c r="AA20" s="140"/>
    </row>
    <row r="21" spans="1:27" x14ac:dyDescent="0.25">
      <c r="A21" s="7">
        <v>107</v>
      </c>
      <c r="B21" t="s">
        <v>245</v>
      </c>
      <c r="C21" t="s">
        <v>212</v>
      </c>
      <c r="E21" t="s">
        <v>246</v>
      </c>
      <c r="F21" s="1">
        <v>43110</v>
      </c>
      <c r="G21">
        <v>500</v>
      </c>
      <c r="H21" t="s">
        <v>200</v>
      </c>
      <c r="K21" s="7">
        <f t="shared" si="1"/>
        <v>20</v>
      </c>
      <c r="L21" s="7">
        <f>_xlfn.XLOOKUP(E21,Plantas!$V$2:$V$96,Plantas!$U$2:$U$96,0,0)</f>
        <v>94</v>
      </c>
      <c r="M21" s="7" cm="1">
        <f t="array" ref="M21">_xlfn.XLOOKUP(C21,_xlfn.ANCHORARRAY($B$213),$A$213:$A$220,0,0)</f>
        <v>1</v>
      </c>
      <c r="N21" s="7">
        <f>_xlfn.XLOOKUP(H21,Unidades!$C$3:$C$8,Unidades!$B$3:$B$8,0,0)</f>
        <v>1</v>
      </c>
      <c r="O21" s="140" t="str">
        <f t="shared" si="0"/>
        <v>INSERT INTO Operacao(OperacaoID, CulturaID, ParcelaID, TipoOperacaoID, DataRealizacao, Quantidade, UnidadeID) VALUES (20, 94, 107, 1,TO_DATE('10/01/2018','dd/mm/yyyy'), 500, 1);</v>
      </c>
      <c r="P21" s="140"/>
      <c r="Q21" s="140"/>
      <c r="R21" s="140"/>
      <c r="S21" s="140"/>
      <c r="T21" s="140"/>
      <c r="U21" s="140"/>
      <c r="V21" s="140"/>
      <c r="W21" s="140"/>
      <c r="X21" s="140"/>
      <c r="Y21" s="140"/>
      <c r="Z21" s="140"/>
      <c r="AA21" s="140"/>
    </row>
    <row r="22" spans="1:27" x14ac:dyDescent="0.25">
      <c r="A22" s="7">
        <v>107</v>
      </c>
      <c r="B22" t="s">
        <v>245</v>
      </c>
      <c r="C22" t="s">
        <v>212</v>
      </c>
      <c r="E22" t="s">
        <v>250</v>
      </c>
      <c r="F22" s="1">
        <v>43111</v>
      </c>
      <c r="G22">
        <v>700</v>
      </c>
      <c r="H22" t="s">
        <v>200</v>
      </c>
      <c r="K22" s="7">
        <f t="shared" si="1"/>
        <v>21</v>
      </c>
      <c r="L22" s="7">
        <f>_xlfn.XLOOKUP(E22,Plantas!$V$2:$V$96,Plantas!$U$2:$U$96,0,0)</f>
        <v>95</v>
      </c>
      <c r="M22" s="7" cm="1">
        <f t="array" ref="M22">_xlfn.XLOOKUP(C22,_xlfn.ANCHORARRAY($B$213),$A$213:$A$220,0,0)</f>
        <v>1</v>
      </c>
      <c r="N22" s="7">
        <f>_xlfn.XLOOKUP(H22,Unidades!$C$3:$C$8,Unidades!$B$3:$B$8,0,0)</f>
        <v>1</v>
      </c>
      <c r="O22" s="140" t="str">
        <f t="shared" si="0"/>
        <v>INSERT INTO Operacao(OperacaoID, CulturaID, ParcelaID, TipoOperacaoID, DataRealizacao, Quantidade, UnidadeID) VALUES (21, 95, 107, 1,TO_DATE('11/01/2018','dd/mm/yyyy'), 700, 1);</v>
      </c>
      <c r="P22" s="140"/>
      <c r="Q22" s="140"/>
      <c r="R22" s="140"/>
      <c r="S22" s="140"/>
      <c r="T22" s="140"/>
      <c r="U22" s="140"/>
      <c r="V22" s="140"/>
      <c r="W22" s="140"/>
      <c r="X22" s="140"/>
      <c r="Y22" s="140"/>
      <c r="Z22" s="140"/>
      <c r="AA22" s="140"/>
    </row>
    <row r="23" spans="1:27" x14ac:dyDescent="0.25">
      <c r="A23" s="7">
        <v>104</v>
      </c>
      <c r="B23" t="s">
        <v>181</v>
      </c>
      <c r="C23" t="s">
        <v>215</v>
      </c>
      <c r="D23" t="s">
        <v>227</v>
      </c>
      <c r="E23" t="s">
        <v>202</v>
      </c>
      <c r="F23" s="1">
        <v>43137</v>
      </c>
      <c r="G23">
        <v>10</v>
      </c>
      <c r="H23" t="s">
        <v>217</v>
      </c>
      <c r="I23" t="s">
        <v>158</v>
      </c>
      <c r="K23" s="7">
        <f t="shared" si="1"/>
        <v>22</v>
      </c>
      <c r="L23" s="7">
        <f>_xlfn.XLOOKUP(E23,Plantas!$V$2:$V$96,Plantas!$U$2:$U$96,0,0)</f>
        <v>41</v>
      </c>
      <c r="M23" s="7" cm="1">
        <f t="array" ref="M23">_xlfn.XLOOKUP(C23,_xlfn.ANCHORARRAY($B$213),$A$213:$A$220,0,0)</f>
        <v>4</v>
      </c>
      <c r="N23" s="7">
        <f>_xlfn.XLOOKUP(H23,Unidades!$C$3:$C$8,Unidades!$B$3:$B$8,0,0)</f>
        <v>3</v>
      </c>
      <c r="O23" s="140" t="str">
        <f t="shared" si="0"/>
        <v>INSERT INTO Operacao(OperacaoID, CulturaID, ParcelaID, TipoOperacaoID, DataRealizacao, Quantidade, UnidadeID) VALUES (22, 41, 104, 4,TO_DATE('06/02/2018','dd/mm/yyyy'), 10, 3);</v>
      </c>
      <c r="P23" s="140"/>
      <c r="Q23" s="140"/>
      <c r="R23" s="140"/>
      <c r="S23" s="140"/>
      <c r="T23" s="140"/>
      <c r="U23" s="140"/>
      <c r="V23" s="140"/>
      <c r="W23" s="140"/>
      <c r="X23" s="140"/>
      <c r="Y23" s="140"/>
      <c r="Z23" s="140"/>
      <c r="AA23" s="140"/>
    </row>
    <row r="24" spans="1:27" x14ac:dyDescent="0.25">
      <c r="A24" s="7">
        <v>104</v>
      </c>
      <c r="B24" t="s">
        <v>181</v>
      </c>
      <c r="C24" t="s">
        <v>215</v>
      </c>
      <c r="D24" t="s">
        <v>227</v>
      </c>
      <c r="E24" t="s">
        <v>203</v>
      </c>
      <c r="F24" s="1">
        <v>43137</v>
      </c>
      <c r="G24">
        <v>6</v>
      </c>
      <c r="H24" t="s">
        <v>217</v>
      </c>
      <c r="I24" t="s">
        <v>158</v>
      </c>
      <c r="K24" s="7">
        <f t="shared" si="1"/>
        <v>23</v>
      </c>
      <c r="L24" s="7">
        <f>_xlfn.XLOOKUP(E24,Plantas!$V$2:$V$96,Plantas!$U$2:$U$96,0,0)</f>
        <v>37</v>
      </c>
      <c r="M24" s="7" cm="1">
        <f t="array" ref="M24">_xlfn.XLOOKUP(C24,_xlfn.ANCHORARRAY($B$213),$A$213:$A$220,0,0)</f>
        <v>4</v>
      </c>
      <c r="N24" s="7">
        <f>_xlfn.XLOOKUP(H24,Unidades!$C$3:$C$8,Unidades!$B$3:$B$8,0,0)</f>
        <v>3</v>
      </c>
      <c r="O24" s="140" t="str">
        <f t="shared" si="0"/>
        <v>INSERT INTO Operacao(OperacaoID, CulturaID, ParcelaID, TipoOperacaoID, DataRealizacao, Quantidade, UnidadeID) VALUES (23, 37, 104, 4,TO_DATE('06/02/2018','dd/mm/yyyy'), 6, 3);</v>
      </c>
      <c r="P24" s="140"/>
      <c r="Q24" s="140"/>
      <c r="R24" s="140"/>
      <c r="S24" s="140"/>
      <c r="T24" s="140"/>
      <c r="U24" s="140"/>
      <c r="V24" s="140"/>
      <c r="W24" s="140"/>
      <c r="X24" s="140"/>
      <c r="Y24" s="140"/>
      <c r="Z24" s="140"/>
      <c r="AA24" s="140"/>
    </row>
    <row r="25" spans="1:27" x14ac:dyDescent="0.25">
      <c r="A25" s="7">
        <v>104</v>
      </c>
      <c r="B25" t="s">
        <v>181</v>
      </c>
      <c r="C25" t="s">
        <v>215</v>
      </c>
      <c r="D25" t="s">
        <v>227</v>
      </c>
      <c r="E25" t="s">
        <v>204</v>
      </c>
      <c r="F25" s="1">
        <v>43137</v>
      </c>
      <c r="G25">
        <v>5</v>
      </c>
      <c r="H25" t="s">
        <v>217</v>
      </c>
      <c r="I25" t="s">
        <v>158</v>
      </c>
      <c r="K25" s="7">
        <f t="shared" si="1"/>
        <v>24</v>
      </c>
      <c r="L25" s="7">
        <f>_xlfn.XLOOKUP(E25,Plantas!$V$2:$V$96,Plantas!$U$2:$U$96,0,0)</f>
        <v>48</v>
      </c>
      <c r="M25" s="7" cm="1">
        <f t="array" ref="M25">_xlfn.XLOOKUP(C25,_xlfn.ANCHORARRAY($B$213),$A$213:$A$220,0,0)</f>
        <v>4</v>
      </c>
      <c r="N25" s="7">
        <f>_xlfn.XLOOKUP(H25,Unidades!$C$3:$C$8,Unidades!$B$3:$B$8,0,0)</f>
        <v>3</v>
      </c>
      <c r="O25" s="140" t="str">
        <f t="shared" si="0"/>
        <v>INSERT INTO Operacao(OperacaoID, CulturaID, ParcelaID, TipoOperacaoID, DataRealizacao, Quantidade, UnidadeID) VALUES (24, 48, 104, 4,TO_DATE('06/02/2018','dd/mm/yyyy'), 5, 3);</v>
      </c>
      <c r="P25" s="140"/>
      <c r="Q25" s="140"/>
      <c r="R25" s="140"/>
      <c r="S25" s="140"/>
      <c r="T25" s="140"/>
      <c r="U25" s="140"/>
      <c r="V25" s="140"/>
      <c r="W25" s="140"/>
      <c r="X25" s="140"/>
      <c r="Y25" s="140"/>
      <c r="Z25" s="140"/>
      <c r="AA25" s="140"/>
    </row>
    <row r="26" spans="1:27" x14ac:dyDescent="0.25">
      <c r="A26" s="7">
        <v>102</v>
      </c>
      <c r="B26" t="s">
        <v>198</v>
      </c>
      <c r="C26" t="s">
        <v>190</v>
      </c>
      <c r="E26" t="s">
        <v>201</v>
      </c>
      <c r="F26" s="1">
        <v>43284</v>
      </c>
      <c r="G26">
        <v>1</v>
      </c>
      <c r="H26" t="s">
        <v>192</v>
      </c>
      <c r="K26" s="7">
        <f t="shared" si="1"/>
        <v>25</v>
      </c>
      <c r="L26" s="7">
        <f>_xlfn.XLOOKUP(E26,Plantas!$V$2:$V$96,Plantas!$U$2:$U$96,0,0)</f>
        <v>89</v>
      </c>
      <c r="M26" s="7" cm="1">
        <f t="array" ref="M26">_xlfn.XLOOKUP(C26,_xlfn.ANCHORARRAY($B$213),$A$213:$A$220,0,0)</f>
        <v>2</v>
      </c>
      <c r="N26" s="7">
        <f>_xlfn.XLOOKUP(H26,Unidades!$C$3:$C$8,Unidades!$B$3:$B$8,0,0)</f>
        <v>2</v>
      </c>
      <c r="O26" s="140" t="str">
        <f t="shared" si="0"/>
        <v>INSERT INTO Operacao(OperacaoID, CulturaID, ParcelaID, TipoOperacaoID, DataRealizacao, Quantidade, UnidadeID) VALUES (25, 89, 102, 2,TO_DATE('03/07/2018','dd/mm/yyyy'), 1, 2);</v>
      </c>
      <c r="P26" s="140"/>
      <c r="Q26" s="140"/>
      <c r="R26" s="140"/>
      <c r="S26" s="140"/>
      <c r="T26" s="140"/>
      <c r="U26" s="140"/>
      <c r="V26" s="140"/>
      <c r="W26" s="140"/>
      <c r="X26" s="140"/>
      <c r="Y26" s="140"/>
      <c r="Z26" s="140"/>
      <c r="AA26" s="140"/>
    </row>
    <row r="27" spans="1:27" x14ac:dyDescent="0.25">
      <c r="A27" s="7">
        <v>102</v>
      </c>
      <c r="B27" t="s">
        <v>198</v>
      </c>
      <c r="C27" t="s">
        <v>190</v>
      </c>
      <c r="E27" t="s">
        <v>199</v>
      </c>
      <c r="F27" s="1">
        <v>43284</v>
      </c>
      <c r="G27">
        <v>1.5</v>
      </c>
      <c r="H27" t="s">
        <v>192</v>
      </c>
      <c r="K27" s="7">
        <f t="shared" si="1"/>
        <v>26</v>
      </c>
      <c r="L27" s="7">
        <f>_xlfn.XLOOKUP(E27,Plantas!$V$2:$V$96,Plantas!$U$2:$U$96,0,0)</f>
        <v>92</v>
      </c>
      <c r="M27" s="7" cm="1">
        <f t="array" ref="M27">_xlfn.XLOOKUP(C27,_xlfn.ANCHORARRAY($B$213),$A$213:$A$220,0,0)</f>
        <v>2</v>
      </c>
      <c r="N27" s="7">
        <f>_xlfn.XLOOKUP(H27,Unidades!$C$3:$C$8,Unidades!$B$3:$B$8,0,0)</f>
        <v>2</v>
      </c>
      <c r="O27" s="140" t="str">
        <f t="shared" si="0"/>
        <v>INSERT INTO Operacao(OperacaoID, CulturaID, ParcelaID, TipoOperacaoID, DataRealizacao, Quantidade, UnidadeID) VALUES (26, 92, 102, 2,TO_DATE('03/07/2018','dd/mm/yyyy'), 1.5, 2);</v>
      </c>
      <c r="P27" s="140"/>
      <c r="Q27" s="140"/>
      <c r="R27" s="140"/>
      <c r="S27" s="140"/>
      <c r="T27" s="140"/>
      <c r="U27" s="140"/>
      <c r="V27" s="140"/>
      <c r="W27" s="140"/>
      <c r="X27" s="140"/>
      <c r="Y27" s="140"/>
      <c r="Z27" s="140"/>
      <c r="AA27" s="140"/>
    </row>
    <row r="28" spans="1:27" x14ac:dyDescent="0.25">
      <c r="A28" s="7">
        <v>104</v>
      </c>
      <c r="B28" t="s">
        <v>181</v>
      </c>
      <c r="C28" t="s">
        <v>190</v>
      </c>
      <c r="E28" t="s">
        <v>48</v>
      </c>
      <c r="F28" s="1">
        <v>43291</v>
      </c>
      <c r="G28">
        <v>3.5</v>
      </c>
      <c r="H28" t="s">
        <v>192</v>
      </c>
      <c r="K28" s="7">
        <f t="shared" si="1"/>
        <v>27</v>
      </c>
      <c r="L28" s="7">
        <f>_xlfn.XLOOKUP(E28,Plantas!$V$2:$V$96,Plantas!$U$2:$U$96,0,0)</f>
        <v>0</v>
      </c>
      <c r="M28" s="7" cm="1">
        <f t="array" ref="M28">_xlfn.XLOOKUP(C28,_xlfn.ANCHORARRAY($B$213),$A$213:$A$220,0,0)</f>
        <v>2</v>
      </c>
      <c r="N28" s="7">
        <f>_xlfn.XLOOKUP(H28,Unidades!$C$3:$C$8,Unidades!$B$3:$B$8,0,0)</f>
        <v>2</v>
      </c>
      <c r="O28" s="140" t="str">
        <f t="shared" si="0"/>
        <v>INSERT INTO Operacao(OperacaoID, CulturaID, ParcelaID, TipoOperacaoID, DataRealizacao, Quantidade, UnidadeID) VALUES (27, 0, 104, 2,TO_DATE('10/07/2018','dd/mm/yyyy'), 3.5, 2);</v>
      </c>
      <c r="P28" s="140"/>
      <c r="Q28" s="140"/>
      <c r="R28" s="140"/>
      <c r="S28" s="140"/>
      <c r="T28" s="140"/>
      <c r="U28" s="140"/>
      <c r="V28" s="140"/>
      <c r="W28" s="140"/>
      <c r="X28" s="140"/>
      <c r="Y28" s="140"/>
      <c r="Z28" s="140"/>
      <c r="AA28" s="140"/>
    </row>
    <row r="29" spans="1:27" x14ac:dyDescent="0.25">
      <c r="A29" s="7">
        <v>107</v>
      </c>
      <c r="B29" t="s">
        <v>245</v>
      </c>
      <c r="C29" t="s">
        <v>190</v>
      </c>
      <c r="E29" t="s">
        <v>240</v>
      </c>
      <c r="F29" s="1">
        <v>43291</v>
      </c>
      <c r="G29">
        <v>6</v>
      </c>
      <c r="H29" t="s">
        <v>192</v>
      </c>
      <c r="K29" s="7">
        <f t="shared" si="1"/>
        <v>28</v>
      </c>
      <c r="L29" s="7">
        <f>_xlfn.XLOOKUP(E29,Plantas!$V$2:$V$96,Plantas!$U$2:$U$96,0,0)</f>
        <v>0</v>
      </c>
      <c r="M29" s="7" cm="1">
        <f t="array" ref="M29">_xlfn.XLOOKUP(C29,_xlfn.ANCHORARRAY($B$213),$A$213:$A$220,0,0)</f>
        <v>2</v>
      </c>
      <c r="N29" s="7">
        <f>_xlfn.XLOOKUP(H29,Unidades!$C$3:$C$8,Unidades!$B$3:$B$8,0,0)</f>
        <v>2</v>
      </c>
      <c r="O29" s="140" t="str">
        <f t="shared" si="0"/>
        <v>INSERT INTO Operacao(OperacaoID, CulturaID, ParcelaID, TipoOperacaoID, DataRealizacao, Quantidade, UnidadeID) VALUES (28, 0, 107, 2,TO_DATE('10/07/2018','dd/mm/yyyy'), 6, 2);</v>
      </c>
      <c r="P29" s="140"/>
      <c r="Q29" s="140"/>
      <c r="R29" s="140"/>
      <c r="S29" s="140"/>
      <c r="T29" s="140"/>
      <c r="U29" s="140"/>
      <c r="V29" s="140"/>
      <c r="W29" s="140"/>
      <c r="X29" s="140"/>
      <c r="Y29" s="140"/>
      <c r="Z29" s="140"/>
      <c r="AA29" s="140"/>
    </row>
    <row r="30" spans="1:27" x14ac:dyDescent="0.25">
      <c r="A30" s="7">
        <v>102</v>
      </c>
      <c r="B30" t="s">
        <v>198</v>
      </c>
      <c r="C30" t="s">
        <v>190</v>
      </c>
      <c r="E30" t="s">
        <v>201</v>
      </c>
      <c r="F30" s="1">
        <v>43322</v>
      </c>
      <c r="G30">
        <v>1</v>
      </c>
      <c r="H30" t="s">
        <v>192</v>
      </c>
      <c r="K30" s="7">
        <f t="shared" si="1"/>
        <v>29</v>
      </c>
      <c r="L30" s="7">
        <f>_xlfn.XLOOKUP(E30,Plantas!$V$2:$V$96,Plantas!$U$2:$U$96,0,0)</f>
        <v>89</v>
      </c>
      <c r="M30" s="7" cm="1">
        <f t="array" ref="M30">_xlfn.XLOOKUP(C30,_xlfn.ANCHORARRAY($B$213),$A$213:$A$220,0,0)</f>
        <v>2</v>
      </c>
      <c r="N30" s="7">
        <f>_xlfn.XLOOKUP(H30,Unidades!$C$3:$C$8,Unidades!$B$3:$B$8,0,0)</f>
        <v>2</v>
      </c>
      <c r="O30" s="140" t="str">
        <f t="shared" si="0"/>
        <v>INSERT INTO Operacao(OperacaoID, CulturaID, ParcelaID, TipoOperacaoID, DataRealizacao, Quantidade, UnidadeID) VALUES (29, 89, 102, 2,TO_DATE('10/08/2018','dd/mm/yyyy'), 1, 2);</v>
      </c>
      <c r="P30" s="140"/>
      <c r="Q30" s="140"/>
      <c r="R30" s="140"/>
      <c r="S30" s="140"/>
      <c r="T30" s="140"/>
      <c r="U30" s="140"/>
      <c r="V30" s="140"/>
      <c r="W30" s="140"/>
      <c r="X30" s="140"/>
      <c r="Y30" s="140"/>
      <c r="Z30" s="140"/>
      <c r="AA30" s="140"/>
    </row>
    <row r="31" spans="1:27" x14ac:dyDescent="0.25">
      <c r="A31" s="7">
        <v>102</v>
      </c>
      <c r="B31" t="s">
        <v>198</v>
      </c>
      <c r="C31" t="s">
        <v>190</v>
      </c>
      <c r="E31" t="s">
        <v>199</v>
      </c>
      <c r="F31" s="1">
        <v>43322</v>
      </c>
      <c r="G31">
        <v>1.5</v>
      </c>
      <c r="H31" t="s">
        <v>192</v>
      </c>
      <c r="K31" s="7">
        <f t="shared" si="1"/>
        <v>30</v>
      </c>
      <c r="L31" s="7">
        <f>_xlfn.XLOOKUP(E31,Plantas!$V$2:$V$96,Plantas!$U$2:$U$96,0,0)</f>
        <v>92</v>
      </c>
      <c r="M31" s="7" cm="1">
        <f t="array" ref="M31">_xlfn.XLOOKUP(C31,_xlfn.ANCHORARRAY($B$213),$A$213:$A$220,0,0)</f>
        <v>2</v>
      </c>
      <c r="N31" s="7">
        <f>_xlfn.XLOOKUP(H31,Unidades!$C$3:$C$8,Unidades!$B$3:$B$8,0,0)</f>
        <v>2</v>
      </c>
      <c r="O31" s="140" t="str">
        <f t="shared" si="0"/>
        <v>INSERT INTO Operacao(OperacaoID, CulturaID, ParcelaID, TipoOperacaoID, DataRealizacao, Quantidade, UnidadeID) VALUES (30, 92, 102, 2,TO_DATE('10/08/2018','dd/mm/yyyy'), 1.5, 2);</v>
      </c>
      <c r="P31" s="140"/>
      <c r="Q31" s="140"/>
      <c r="R31" s="140"/>
      <c r="S31" s="140"/>
      <c r="T31" s="140"/>
      <c r="U31" s="140"/>
      <c r="V31" s="140"/>
      <c r="W31" s="140"/>
      <c r="X31" s="140"/>
      <c r="Y31" s="140"/>
      <c r="Z31" s="140"/>
      <c r="AA31" s="140"/>
    </row>
    <row r="32" spans="1:27" x14ac:dyDescent="0.25">
      <c r="A32" s="7">
        <v>104</v>
      </c>
      <c r="B32" t="s">
        <v>181</v>
      </c>
      <c r="C32" t="s">
        <v>190</v>
      </c>
      <c r="E32" t="s">
        <v>48</v>
      </c>
      <c r="F32" s="1">
        <v>43322</v>
      </c>
      <c r="G32">
        <v>4</v>
      </c>
      <c r="H32" t="s">
        <v>192</v>
      </c>
      <c r="K32" s="7">
        <f t="shared" si="1"/>
        <v>31</v>
      </c>
      <c r="L32" s="7">
        <f>_xlfn.XLOOKUP(E32,Plantas!$V$2:$V$96,Plantas!$U$2:$U$96,0,0)</f>
        <v>0</v>
      </c>
      <c r="M32" s="7" cm="1">
        <f t="array" ref="M32">_xlfn.XLOOKUP(C32,_xlfn.ANCHORARRAY($B$213),$A$213:$A$220,0,0)</f>
        <v>2</v>
      </c>
      <c r="N32" s="7">
        <f>_xlfn.XLOOKUP(H32,Unidades!$C$3:$C$8,Unidades!$B$3:$B$8,0,0)</f>
        <v>2</v>
      </c>
      <c r="O32" s="140" t="str">
        <f t="shared" si="0"/>
        <v>INSERT INTO Operacao(OperacaoID, CulturaID, ParcelaID, TipoOperacaoID, DataRealizacao, Quantidade, UnidadeID) VALUES (31, 0, 104, 2,TO_DATE('10/08/2018','dd/mm/yyyy'), 4, 2);</v>
      </c>
      <c r="P32" s="140"/>
      <c r="Q32" s="140"/>
      <c r="R32" s="140"/>
      <c r="S32" s="140"/>
      <c r="T32" s="140"/>
      <c r="U32" s="140"/>
      <c r="V32" s="140"/>
      <c r="W32" s="140"/>
      <c r="X32" s="140"/>
      <c r="Y32" s="140"/>
      <c r="Z32" s="140"/>
      <c r="AA32" s="140"/>
    </row>
    <row r="33" spans="1:27" x14ac:dyDescent="0.25">
      <c r="A33" s="7">
        <v>107</v>
      </c>
      <c r="B33" t="s">
        <v>245</v>
      </c>
      <c r="C33" t="s">
        <v>190</v>
      </c>
      <c r="E33" t="s">
        <v>240</v>
      </c>
      <c r="F33" s="1">
        <v>43323</v>
      </c>
      <c r="G33">
        <v>7</v>
      </c>
      <c r="H33" t="s">
        <v>192</v>
      </c>
      <c r="K33" s="7">
        <f t="shared" si="1"/>
        <v>32</v>
      </c>
      <c r="L33" s="7">
        <f>_xlfn.XLOOKUP(E33,Plantas!$V$2:$V$96,Plantas!$U$2:$U$96,0,0)</f>
        <v>0</v>
      </c>
      <c r="M33" s="7" cm="1">
        <f t="array" ref="M33">_xlfn.XLOOKUP(C33,_xlfn.ANCHORARRAY($B$213),$A$213:$A$220,0,0)</f>
        <v>2</v>
      </c>
      <c r="N33" s="7">
        <f>_xlfn.XLOOKUP(H33,Unidades!$C$3:$C$8,Unidades!$B$3:$B$8,0,0)</f>
        <v>2</v>
      </c>
      <c r="O33" s="140" t="str">
        <f t="shared" si="0"/>
        <v>INSERT INTO Operacao(OperacaoID, CulturaID, ParcelaID, TipoOperacaoID, DataRealizacao, Quantidade, UnidadeID) VALUES (32, 0, 107, 2,TO_DATE('11/08/2018','dd/mm/yyyy'), 7, 2);</v>
      </c>
      <c r="P33" s="140"/>
      <c r="Q33" s="140"/>
      <c r="R33" s="140"/>
      <c r="S33" s="140"/>
      <c r="T33" s="140"/>
      <c r="U33" s="140"/>
      <c r="V33" s="140"/>
      <c r="W33" s="140"/>
      <c r="X33" s="140"/>
      <c r="Y33" s="140"/>
      <c r="Z33" s="140"/>
      <c r="AA33" s="140"/>
    </row>
    <row r="34" spans="1:27" x14ac:dyDescent="0.25">
      <c r="A34" s="7">
        <v>104</v>
      </c>
      <c r="B34" t="s">
        <v>181</v>
      </c>
      <c r="C34" t="s">
        <v>190</v>
      </c>
      <c r="E34" t="s">
        <v>48</v>
      </c>
      <c r="F34" s="1">
        <v>43345</v>
      </c>
      <c r="G34">
        <v>4</v>
      </c>
      <c r="H34" t="s">
        <v>192</v>
      </c>
      <c r="K34" s="7">
        <f t="shared" si="1"/>
        <v>33</v>
      </c>
      <c r="L34" s="7">
        <f>_xlfn.XLOOKUP(E34,Plantas!$V$2:$V$96,Plantas!$U$2:$U$96,0,0)</f>
        <v>0</v>
      </c>
      <c r="M34" s="7" cm="1">
        <f t="array" ref="M34">_xlfn.XLOOKUP(C34,_xlfn.ANCHORARRAY($B$213),$A$213:$A$220,0,0)</f>
        <v>2</v>
      </c>
      <c r="N34" s="7">
        <f>_xlfn.XLOOKUP(H34,Unidades!$C$3:$C$8,Unidades!$B$3:$B$8,0,0)</f>
        <v>2</v>
      </c>
      <c r="O34" s="140" t="str">
        <f t="shared" si="0"/>
        <v>INSERT INTO Operacao(OperacaoID, CulturaID, ParcelaID, TipoOperacaoID, DataRealizacao, Quantidade, UnidadeID) VALUES (33, 0, 104, 2,TO_DATE('02/09/2018','dd/mm/yyyy'), 4, 2);</v>
      </c>
      <c r="P34" s="140"/>
      <c r="Q34" s="140"/>
      <c r="R34" s="140"/>
      <c r="S34" s="140"/>
      <c r="T34" s="140"/>
      <c r="U34" s="140"/>
      <c r="V34" s="140"/>
      <c r="W34" s="140"/>
      <c r="X34" s="140"/>
      <c r="Y34" s="140"/>
      <c r="Z34" s="140"/>
      <c r="AA34" s="140"/>
    </row>
    <row r="35" spans="1:27" x14ac:dyDescent="0.25">
      <c r="A35" s="7">
        <v>104</v>
      </c>
      <c r="B35" t="s">
        <v>181</v>
      </c>
      <c r="C35" t="s">
        <v>190</v>
      </c>
      <c r="E35" t="s">
        <v>48</v>
      </c>
      <c r="F35" s="1">
        <v>43353</v>
      </c>
      <c r="G35">
        <v>4</v>
      </c>
      <c r="H35" t="s">
        <v>192</v>
      </c>
      <c r="K35" s="7">
        <f t="shared" si="1"/>
        <v>34</v>
      </c>
      <c r="L35" s="7">
        <f>_xlfn.XLOOKUP(E35,Plantas!$V$2:$V$96,Plantas!$U$2:$U$96,0,0)</f>
        <v>0</v>
      </c>
      <c r="M35" s="7" cm="1">
        <f t="array" ref="M35">_xlfn.XLOOKUP(C35,_xlfn.ANCHORARRAY($B$213),$A$213:$A$220,0,0)</f>
        <v>2</v>
      </c>
      <c r="N35" s="7">
        <f>_xlfn.XLOOKUP(H35,Unidades!$C$3:$C$8,Unidades!$B$3:$B$8,0,0)</f>
        <v>2</v>
      </c>
      <c r="O35" s="140" t="str">
        <f t="shared" si="0"/>
        <v>INSERT INTO Operacao(OperacaoID, CulturaID, ParcelaID, TipoOperacaoID, DataRealizacao, Quantidade, UnidadeID) VALUES (34, 0, 104, 2,TO_DATE('10/09/2018','dd/mm/yyyy'), 4, 2);</v>
      </c>
      <c r="P35" s="140"/>
      <c r="Q35" s="140"/>
      <c r="R35" s="140"/>
      <c r="S35" s="140"/>
      <c r="T35" s="140"/>
      <c r="U35" s="140"/>
      <c r="V35" s="140"/>
      <c r="W35" s="140"/>
      <c r="X35" s="140"/>
      <c r="Y35" s="140"/>
      <c r="Z35" s="140"/>
      <c r="AA35" s="140"/>
    </row>
    <row r="36" spans="1:27" x14ac:dyDescent="0.25">
      <c r="A36" s="7">
        <v>102</v>
      </c>
      <c r="B36" t="s">
        <v>198</v>
      </c>
      <c r="C36" t="s">
        <v>5</v>
      </c>
      <c r="E36" t="s">
        <v>199</v>
      </c>
      <c r="F36" s="1">
        <v>43421</v>
      </c>
      <c r="G36">
        <v>30</v>
      </c>
      <c r="H36" t="s">
        <v>200</v>
      </c>
      <c r="K36" s="7">
        <f t="shared" si="1"/>
        <v>35</v>
      </c>
      <c r="L36" s="7">
        <f>_xlfn.XLOOKUP(E36,Plantas!$V$2:$V$96,Plantas!$U$2:$U$96,0,0)</f>
        <v>92</v>
      </c>
      <c r="M36" s="7" cm="1">
        <f t="array" ref="M36">_xlfn.XLOOKUP(C36,_xlfn.ANCHORARRAY($B$213),$A$213:$A$220,0,0)</f>
        <v>3</v>
      </c>
      <c r="N36" s="7">
        <f>_xlfn.XLOOKUP(H36,Unidades!$C$3:$C$8,Unidades!$B$3:$B$8,0,0)</f>
        <v>1</v>
      </c>
      <c r="O36" s="140" t="str">
        <f t="shared" si="0"/>
        <v>INSERT INTO Operacao(OperacaoID, CulturaID, ParcelaID, TipoOperacaoID, DataRealizacao, Quantidade, UnidadeID) VALUES (35, 92, 102, 3,TO_DATE('17/11/2018','dd/mm/yyyy'), 30, 1);</v>
      </c>
      <c r="P36" s="140"/>
      <c r="Q36" s="140"/>
      <c r="R36" s="140"/>
      <c r="S36" s="140"/>
      <c r="T36" s="140"/>
      <c r="U36" s="140"/>
      <c r="V36" s="140"/>
      <c r="W36" s="140"/>
      <c r="X36" s="140"/>
      <c r="Y36" s="140"/>
      <c r="Z36" s="140"/>
      <c r="AA36" s="140"/>
    </row>
    <row r="37" spans="1:27" x14ac:dyDescent="0.25">
      <c r="A37" s="7">
        <v>102</v>
      </c>
      <c r="B37" t="s">
        <v>198</v>
      </c>
      <c r="C37" t="s">
        <v>5</v>
      </c>
      <c r="E37" t="s">
        <v>201</v>
      </c>
      <c r="F37" s="1">
        <v>43421</v>
      </c>
      <c r="G37">
        <v>20</v>
      </c>
      <c r="H37" t="s">
        <v>200</v>
      </c>
      <c r="K37" s="7">
        <f t="shared" si="1"/>
        <v>36</v>
      </c>
      <c r="L37" s="7">
        <f>_xlfn.XLOOKUP(E37,Plantas!$V$2:$V$96,Plantas!$U$2:$U$96,0,0)</f>
        <v>89</v>
      </c>
      <c r="M37" s="7" cm="1">
        <f t="array" ref="M37">_xlfn.XLOOKUP(C37,_xlfn.ANCHORARRAY($B$213),$A$213:$A$220,0,0)</f>
        <v>3</v>
      </c>
      <c r="N37" s="7">
        <f>_xlfn.XLOOKUP(H37,Unidades!$C$3:$C$8,Unidades!$B$3:$B$8,0,0)</f>
        <v>1</v>
      </c>
      <c r="O37" s="140" t="str">
        <f t="shared" si="0"/>
        <v>INSERT INTO Operacao(OperacaoID, CulturaID, ParcelaID, TipoOperacaoID, DataRealizacao, Quantidade, UnidadeID) VALUES (36, 89, 102, 3,TO_DATE('17/11/2018','dd/mm/yyyy'), 20, 1);</v>
      </c>
      <c r="P37" s="140"/>
      <c r="Q37" s="140"/>
      <c r="R37" s="140"/>
      <c r="S37" s="140"/>
      <c r="T37" s="140"/>
      <c r="U37" s="140"/>
      <c r="V37" s="140"/>
      <c r="W37" s="140"/>
      <c r="X37" s="140"/>
      <c r="Y37" s="140"/>
      <c r="Z37" s="140"/>
      <c r="AA37" s="140"/>
    </row>
    <row r="38" spans="1:27" x14ac:dyDescent="0.25">
      <c r="A38" s="7">
        <v>104</v>
      </c>
      <c r="B38" t="s">
        <v>181</v>
      </c>
      <c r="C38" t="s">
        <v>212</v>
      </c>
      <c r="E38" t="s">
        <v>204</v>
      </c>
      <c r="F38" s="1">
        <v>43444</v>
      </c>
      <c r="G38">
        <v>30</v>
      </c>
      <c r="H38" t="s">
        <v>200</v>
      </c>
      <c r="K38" s="7">
        <f t="shared" si="1"/>
        <v>37</v>
      </c>
      <c r="L38" s="7">
        <f>_xlfn.XLOOKUP(E38,Plantas!$V$2:$V$96,Plantas!$U$2:$U$96,0,0)</f>
        <v>48</v>
      </c>
      <c r="M38" s="7" cm="1">
        <f t="array" ref="M38">_xlfn.XLOOKUP(C38,_xlfn.ANCHORARRAY($B$213),$A$213:$A$220,0,0)</f>
        <v>1</v>
      </c>
      <c r="N38" s="7">
        <f>_xlfn.XLOOKUP(H38,Unidades!$C$3:$C$8,Unidades!$B$3:$B$8,0,0)</f>
        <v>1</v>
      </c>
      <c r="O38" s="140" t="str">
        <f t="shared" si="0"/>
        <v>INSERT INTO Operacao(OperacaoID, CulturaID, ParcelaID, TipoOperacaoID, DataRealizacao, Quantidade, UnidadeID) VALUES (37, 48, 104, 1,TO_DATE('10/12/2018','dd/mm/yyyy'), 30, 1);</v>
      </c>
      <c r="P38" s="140"/>
      <c r="Q38" s="140"/>
      <c r="R38" s="140"/>
      <c r="S38" s="140"/>
      <c r="T38" s="140"/>
      <c r="U38" s="140"/>
      <c r="V38" s="140"/>
      <c r="W38" s="140"/>
      <c r="X38" s="140"/>
      <c r="Y38" s="140"/>
      <c r="Z38" s="140"/>
      <c r="AA38" s="140"/>
    </row>
    <row r="39" spans="1:27" x14ac:dyDescent="0.25">
      <c r="A39" s="7">
        <v>107</v>
      </c>
      <c r="B39" t="s">
        <v>245</v>
      </c>
      <c r="C39" t="s">
        <v>5</v>
      </c>
      <c r="E39" t="s">
        <v>246</v>
      </c>
      <c r="F39" s="1">
        <v>43450</v>
      </c>
      <c r="G39">
        <v>500</v>
      </c>
      <c r="H39" t="s">
        <v>200</v>
      </c>
      <c r="K39" s="7">
        <f t="shared" si="1"/>
        <v>38</v>
      </c>
      <c r="L39" s="7">
        <f>_xlfn.XLOOKUP(E39,Plantas!$V$2:$V$96,Plantas!$U$2:$U$96,0,0)</f>
        <v>94</v>
      </c>
      <c r="M39" s="7" cm="1">
        <f t="array" ref="M39">_xlfn.XLOOKUP(C39,_xlfn.ANCHORARRAY($B$213),$A$213:$A$220,0,0)</f>
        <v>3</v>
      </c>
      <c r="N39" s="7">
        <f>_xlfn.XLOOKUP(H39,Unidades!$C$3:$C$8,Unidades!$B$3:$B$8,0,0)</f>
        <v>1</v>
      </c>
      <c r="O39" s="140" t="str">
        <f t="shared" si="0"/>
        <v>INSERT INTO Operacao(OperacaoID, CulturaID, ParcelaID, TipoOperacaoID, DataRealizacao, Quantidade, UnidadeID) VALUES (38, 94, 107, 3,TO_DATE('16/12/2018','dd/mm/yyyy'), 500, 1);</v>
      </c>
      <c r="P39" s="140"/>
      <c r="Q39" s="140"/>
      <c r="R39" s="140"/>
      <c r="S39" s="140"/>
      <c r="T39" s="140"/>
      <c r="U39" s="140"/>
      <c r="V39" s="140"/>
      <c r="W39" s="140"/>
      <c r="X39" s="140"/>
      <c r="Y39" s="140"/>
      <c r="Z39" s="140"/>
      <c r="AA39" s="140"/>
    </row>
    <row r="40" spans="1:27" x14ac:dyDescent="0.25">
      <c r="A40" s="7">
        <v>107</v>
      </c>
      <c r="B40" t="s">
        <v>245</v>
      </c>
      <c r="C40" t="s">
        <v>5</v>
      </c>
      <c r="E40" t="s">
        <v>250</v>
      </c>
      <c r="F40" s="1">
        <v>43452</v>
      </c>
      <c r="G40">
        <v>700</v>
      </c>
      <c r="H40" t="s">
        <v>200</v>
      </c>
      <c r="K40" s="7">
        <f t="shared" si="1"/>
        <v>39</v>
      </c>
      <c r="L40" s="7">
        <f>_xlfn.XLOOKUP(E40,Plantas!$V$2:$V$96,Plantas!$U$2:$U$96,0,0)</f>
        <v>95</v>
      </c>
      <c r="M40" s="7" cm="1">
        <f t="array" ref="M40">_xlfn.XLOOKUP(C40,_xlfn.ANCHORARRAY($B$213),$A$213:$A$220,0,0)</f>
        <v>3</v>
      </c>
      <c r="N40" s="7">
        <f>_xlfn.XLOOKUP(H40,Unidades!$C$3:$C$8,Unidades!$B$3:$B$8,0,0)</f>
        <v>1</v>
      </c>
      <c r="O40" s="140" t="str">
        <f t="shared" si="0"/>
        <v>INSERT INTO Operacao(OperacaoID, CulturaID, ParcelaID, TipoOperacaoID, DataRealizacao, Quantidade, UnidadeID) VALUES (39, 95, 107, 3,TO_DATE('18/12/2018','dd/mm/yyyy'), 700, 1);</v>
      </c>
      <c r="P40" s="140"/>
      <c r="Q40" s="140"/>
      <c r="R40" s="140"/>
      <c r="S40" s="140"/>
      <c r="T40" s="140"/>
      <c r="U40" s="140"/>
      <c r="V40" s="140"/>
      <c r="W40" s="140"/>
      <c r="X40" s="140"/>
      <c r="Y40" s="140"/>
      <c r="Z40" s="140"/>
      <c r="AA40" s="140"/>
    </row>
    <row r="41" spans="1:27" x14ac:dyDescent="0.25">
      <c r="A41" s="7">
        <v>104</v>
      </c>
      <c r="B41" t="s">
        <v>181</v>
      </c>
      <c r="C41" t="s">
        <v>5</v>
      </c>
      <c r="E41" t="s">
        <v>202</v>
      </c>
      <c r="F41" s="1">
        <v>43472</v>
      </c>
      <c r="G41">
        <v>90</v>
      </c>
      <c r="H41" t="s">
        <v>200</v>
      </c>
      <c r="K41" s="7">
        <f t="shared" si="1"/>
        <v>40</v>
      </c>
      <c r="L41" s="7">
        <f>_xlfn.XLOOKUP(E41,Plantas!$V$2:$V$96,Plantas!$U$2:$U$96,0,0)</f>
        <v>41</v>
      </c>
      <c r="M41" s="7" cm="1">
        <f t="array" ref="M41">_xlfn.XLOOKUP(C41,_xlfn.ANCHORARRAY($B$213),$A$213:$A$220,0,0)</f>
        <v>3</v>
      </c>
      <c r="N41" s="7">
        <f>_xlfn.XLOOKUP(H41,Unidades!$C$3:$C$8,Unidades!$B$3:$B$8,0,0)</f>
        <v>1</v>
      </c>
      <c r="O41" s="140" t="str">
        <f t="shared" si="0"/>
        <v>INSERT INTO Operacao(OperacaoID, CulturaID, ParcelaID, TipoOperacaoID, DataRealizacao, Quantidade, UnidadeID) VALUES (40, 41, 104, 3,TO_DATE('07/01/2019','dd/mm/yyyy'), 90, 1);</v>
      </c>
      <c r="P41" s="140"/>
      <c r="Q41" s="140"/>
      <c r="R41" s="140"/>
      <c r="S41" s="140"/>
      <c r="T41" s="140"/>
      <c r="U41" s="140"/>
      <c r="V41" s="140"/>
      <c r="W41" s="140"/>
      <c r="X41" s="140"/>
      <c r="Y41" s="140"/>
      <c r="Z41" s="140"/>
      <c r="AA41" s="140"/>
    </row>
    <row r="42" spans="1:27" x14ac:dyDescent="0.25">
      <c r="A42" s="7">
        <v>104</v>
      </c>
      <c r="B42" t="s">
        <v>181</v>
      </c>
      <c r="C42" t="s">
        <v>5</v>
      </c>
      <c r="E42" t="s">
        <v>203</v>
      </c>
      <c r="F42" s="1">
        <v>43473</v>
      </c>
      <c r="G42">
        <v>60</v>
      </c>
      <c r="H42" t="s">
        <v>200</v>
      </c>
      <c r="K42" s="7">
        <f t="shared" si="1"/>
        <v>41</v>
      </c>
      <c r="L42" s="7">
        <f>_xlfn.XLOOKUP(E42,Plantas!$V$2:$V$96,Plantas!$U$2:$U$96,0,0)</f>
        <v>37</v>
      </c>
      <c r="M42" s="7" cm="1">
        <f t="array" ref="M42">_xlfn.XLOOKUP(C42,_xlfn.ANCHORARRAY($B$213),$A$213:$A$220,0,0)</f>
        <v>3</v>
      </c>
      <c r="N42" s="7">
        <f>_xlfn.XLOOKUP(H42,Unidades!$C$3:$C$8,Unidades!$B$3:$B$8,0,0)</f>
        <v>1</v>
      </c>
      <c r="O42" s="140" t="str">
        <f t="shared" si="0"/>
        <v>INSERT INTO Operacao(OperacaoID, CulturaID, ParcelaID, TipoOperacaoID, DataRealizacao, Quantidade, UnidadeID) VALUES (41, 37, 104, 3,TO_DATE('08/01/2019','dd/mm/yyyy'), 60, 1);</v>
      </c>
      <c r="P42" s="140"/>
      <c r="Q42" s="140"/>
      <c r="R42" s="140"/>
      <c r="S42" s="140"/>
      <c r="T42" s="140"/>
      <c r="U42" s="140"/>
      <c r="V42" s="140"/>
      <c r="W42" s="140"/>
      <c r="X42" s="140"/>
      <c r="Y42" s="140"/>
      <c r="Z42" s="140"/>
      <c r="AA42" s="140"/>
    </row>
    <row r="43" spans="1:27" x14ac:dyDescent="0.25">
      <c r="A43" s="7">
        <v>104</v>
      </c>
      <c r="B43" t="s">
        <v>181</v>
      </c>
      <c r="C43" t="s">
        <v>5</v>
      </c>
      <c r="E43" t="s">
        <v>204</v>
      </c>
      <c r="F43" s="1">
        <v>43473</v>
      </c>
      <c r="G43">
        <v>40</v>
      </c>
      <c r="H43" t="s">
        <v>200</v>
      </c>
      <c r="K43" s="7">
        <f t="shared" si="1"/>
        <v>42</v>
      </c>
      <c r="L43" s="7">
        <f>_xlfn.XLOOKUP(E43,Plantas!$V$2:$V$96,Plantas!$U$2:$U$96,0,0)</f>
        <v>48</v>
      </c>
      <c r="M43" s="7" cm="1">
        <f t="array" ref="M43">_xlfn.XLOOKUP(C43,_xlfn.ANCHORARRAY($B$213),$A$213:$A$220,0,0)</f>
        <v>3</v>
      </c>
      <c r="N43" s="7">
        <f>_xlfn.XLOOKUP(H43,Unidades!$C$3:$C$8,Unidades!$B$3:$B$8,0,0)</f>
        <v>1</v>
      </c>
      <c r="O43" s="140" t="str">
        <f t="shared" si="0"/>
        <v>INSERT INTO Operacao(OperacaoID, CulturaID, ParcelaID, TipoOperacaoID, DataRealizacao, Quantidade, UnidadeID) VALUES (42, 48, 104, 3,TO_DATE('08/01/2019','dd/mm/yyyy'), 40, 1);</v>
      </c>
      <c r="P43" s="140"/>
      <c r="Q43" s="140"/>
      <c r="R43" s="140"/>
      <c r="S43" s="140"/>
      <c r="T43" s="140"/>
      <c r="U43" s="140"/>
      <c r="V43" s="140"/>
      <c r="W43" s="140"/>
      <c r="X43" s="140"/>
      <c r="Y43" s="140"/>
      <c r="Z43" s="140"/>
      <c r="AA43" s="140"/>
    </row>
    <row r="44" spans="1:27" x14ac:dyDescent="0.25">
      <c r="A44" s="7">
        <v>107</v>
      </c>
      <c r="B44" t="s">
        <v>245</v>
      </c>
      <c r="C44" t="s">
        <v>251</v>
      </c>
      <c r="E44" t="s">
        <v>246</v>
      </c>
      <c r="F44" s="1">
        <v>43485</v>
      </c>
      <c r="G44">
        <v>2</v>
      </c>
      <c r="H44" t="s">
        <v>217</v>
      </c>
      <c r="I44" t="s">
        <v>142</v>
      </c>
      <c r="K44" s="7">
        <f t="shared" si="1"/>
        <v>43</v>
      </c>
      <c r="L44" s="7">
        <f>_xlfn.XLOOKUP(E44,Plantas!$V$2:$V$96,Plantas!$U$2:$U$96,0,0)</f>
        <v>94</v>
      </c>
      <c r="M44" s="7" cm="1">
        <f t="array" ref="M44">_xlfn.XLOOKUP(C44,_xlfn.ANCHORARRAY($B$213),$A$213:$A$220,0,0)</f>
        <v>5</v>
      </c>
      <c r="N44" s="7">
        <f>_xlfn.XLOOKUP(H44,Unidades!$C$3:$C$8,Unidades!$B$3:$B$8,0,0)</f>
        <v>3</v>
      </c>
      <c r="O44" s="140" t="str">
        <f t="shared" si="0"/>
        <v>INSERT INTO Operacao(OperacaoID, CulturaID, ParcelaID, TipoOperacaoID, DataRealizacao, Quantidade, UnidadeID) VALUES (43, 94, 107, 5,TO_DATE('20/01/2019','dd/mm/yyyy'), 2, 3);</v>
      </c>
      <c r="P44" s="140"/>
      <c r="Q44" s="140"/>
      <c r="R44" s="140"/>
      <c r="S44" s="140"/>
      <c r="T44" s="140"/>
      <c r="U44" s="140"/>
      <c r="V44" s="140"/>
      <c r="W44" s="140"/>
      <c r="X44" s="140"/>
      <c r="Y44" s="140"/>
      <c r="Z44" s="140"/>
      <c r="AA44" s="140"/>
    </row>
    <row r="45" spans="1:27" x14ac:dyDescent="0.25">
      <c r="A45" s="7">
        <v>107</v>
      </c>
      <c r="B45" t="s">
        <v>245</v>
      </c>
      <c r="C45" t="s">
        <v>251</v>
      </c>
      <c r="E45" t="s">
        <v>250</v>
      </c>
      <c r="F45" s="1">
        <v>43485</v>
      </c>
      <c r="G45">
        <v>2.5</v>
      </c>
      <c r="H45" t="s">
        <v>217</v>
      </c>
      <c r="I45" t="s">
        <v>142</v>
      </c>
      <c r="K45" s="7">
        <f t="shared" si="1"/>
        <v>44</v>
      </c>
      <c r="L45" s="7">
        <f>_xlfn.XLOOKUP(E45,Plantas!$V$2:$V$96,Plantas!$U$2:$U$96,0,0)</f>
        <v>95</v>
      </c>
      <c r="M45" s="7" cm="1">
        <f t="array" ref="M45">_xlfn.XLOOKUP(C45,_xlfn.ANCHORARRAY($B$213),$A$213:$A$220,0,0)</f>
        <v>5</v>
      </c>
      <c r="N45" s="7">
        <f>_xlfn.XLOOKUP(H45,Unidades!$C$3:$C$8,Unidades!$B$3:$B$8,0,0)</f>
        <v>3</v>
      </c>
      <c r="O45" s="140" t="str">
        <f t="shared" si="0"/>
        <v>INSERT INTO Operacao(OperacaoID, CulturaID, ParcelaID, TipoOperacaoID, DataRealizacao, Quantidade, UnidadeID) VALUES (44, 95, 107, 5,TO_DATE('20/01/2019','dd/mm/yyyy'), 2.5, 3);</v>
      </c>
      <c r="P45" s="140"/>
      <c r="Q45" s="140"/>
      <c r="R45" s="140"/>
      <c r="S45" s="140"/>
      <c r="T45" s="140"/>
      <c r="U45" s="140"/>
      <c r="V45" s="140"/>
      <c r="W45" s="140"/>
      <c r="X45" s="140"/>
      <c r="Y45" s="140"/>
      <c r="Z45" s="140"/>
      <c r="AA45" s="140"/>
    </row>
    <row r="46" spans="1:27" x14ac:dyDescent="0.25">
      <c r="A46" s="7">
        <v>104</v>
      </c>
      <c r="B46" t="s">
        <v>181</v>
      </c>
      <c r="C46" t="s">
        <v>215</v>
      </c>
      <c r="D46" t="s">
        <v>227</v>
      </c>
      <c r="E46" t="s">
        <v>202</v>
      </c>
      <c r="F46" s="1">
        <v>43502</v>
      </c>
      <c r="G46">
        <v>10</v>
      </c>
      <c r="H46" t="s">
        <v>217</v>
      </c>
      <c r="I46" t="s">
        <v>158</v>
      </c>
      <c r="K46" s="7">
        <f t="shared" si="1"/>
        <v>45</v>
      </c>
      <c r="L46" s="7">
        <f>_xlfn.XLOOKUP(E46,Plantas!$V$2:$V$96,Plantas!$U$2:$U$96,0,0)</f>
        <v>41</v>
      </c>
      <c r="M46" s="7" cm="1">
        <f t="array" ref="M46">_xlfn.XLOOKUP(C46,_xlfn.ANCHORARRAY($B$213),$A$213:$A$220,0,0)</f>
        <v>4</v>
      </c>
      <c r="N46" s="7">
        <f>_xlfn.XLOOKUP(H46,Unidades!$C$3:$C$8,Unidades!$B$3:$B$8,0,0)</f>
        <v>3</v>
      </c>
      <c r="O46" s="140" t="str">
        <f t="shared" si="0"/>
        <v>INSERT INTO Operacao(OperacaoID, CulturaID, ParcelaID, TipoOperacaoID, DataRealizacao, Quantidade, UnidadeID) VALUES (45, 41, 104, 4,TO_DATE('06/02/2019','dd/mm/yyyy'), 10, 3);</v>
      </c>
      <c r="P46" s="140"/>
      <c r="Q46" s="140"/>
      <c r="R46" s="140"/>
      <c r="S46" s="140"/>
      <c r="T46" s="140"/>
      <c r="U46" s="140"/>
      <c r="V46" s="140"/>
      <c r="W46" s="140"/>
      <c r="X46" s="140"/>
      <c r="Y46" s="140"/>
      <c r="Z46" s="140"/>
      <c r="AA46" s="140"/>
    </row>
    <row r="47" spans="1:27" x14ac:dyDescent="0.25">
      <c r="A47" s="7">
        <v>104</v>
      </c>
      <c r="B47" t="s">
        <v>181</v>
      </c>
      <c r="C47" t="s">
        <v>215</v>
      </c>
      <c r="D47" t="s">
        <v>227</v>
      </c>
      <c r="E47" t="s">
        <v>203</v>
      </c>
      <c r="F47" s="1">
        <v>43502</v>
      </c>
      <c r="G47">
        <v>5</v>
      </c>
      <c r="H47" t="s">
        <v>217</v>
      </c>
      <c r="I47" t="s">
        <v>158</v>
      </c>
      <c r="K47" s="7">
        <f t="shared" si="1"/>
        <v>46</v>
      </c>
      <c r="L47" s="7">
        <f>_xlfn.XLOOKUP(E47,Plantas!$V$2:$V$96,Plantas!$U$2:$U$96,0,0)</f>
        <v>37</v>
      </c>
      <c r="M47" s="7" cm="1">
        <f t="array" ref="M47">_xlfn.XLOOKUP(C47,_xlfn.ANCHORARRAY($B$213),$A$213:$A$220,0,0)</f>
        <v>4</v>
      </c>
      <c r="N47" s="7">
        <f>_xlfn.XLOOKUP(H47,Unidades!$C$3:$C$8,Unidades!$B$3:$B$8,0,0)</f>
        <v>3</v>
      </c>
      <c r="O47" s="140" t="str">
        <f t="shared" si="0"/>
        <v>INSERT INTO Operacao(OperacaoID, CulturaID, ParcelaID, TipoOperacaoID, DataRealizacao, Quantidade, UnidadeID) VALUES (46, 37, 104, 4,TO_DATE('06/02/2019','dd/mm/yyyy'), 5, 3);</v>
      </c>
      <c r="P47" s="140"/>
      <c r="Q47" s="140"/>
      <c r="R47" s="140"/>
      <c r="S47" s="140"/>
      <c r="T47" s="140"/>
      <c r="U47" s="140"/>
      <c r="V47" s="140"/>
      <c r="W47" s="140"/>
      <c r="X47" s="140"/>
      <c r="Y47" s="140"/>
      <c r="Z47" s="140"/>
      <c r="AA47" s="140"/>
    </row>
    <row r="48" spans="1:27" x14ac:dyDescent="0.25">
      <c r="A48" s="7">
        <v>104</v>
      </c>
      <c r="B48" t="s">
        <v>181</v>
      </c>
      <c r="C48" t="s">
        <v>215</v>
      </c>
      <c r="D48" t="s">
        <v>227</v>
      </c>
      <c r="E48" t="s">
        <v>204</v>
      </c>
      <c r="F48" s="1">
        <v>43502</v>
      </c>
      <c r="G48">
        <v>7</v>
      </c>
      <c r="H48" t="s">
        <v>217</v>
      </c>
      <c r="I48" t="s">
        <v>158</v>
      </c>
      <c r="K48" s="7">
        <f t="shared" si="1"/>
        <v>47</v>
      </c>
      <c r="L48" s="7">
        <f>_xlfn.XLOOKUP(E48,Plantas!$V$2:$V$96,Plantas!$U$2:$U$96,0,0)</f>
        <v>48</v>
      </c>
      <c r="M48" s="7" cm="1">
        <f t="array" ref="M48">_xlfn.XLOOKUP(C48,_xlfn.ANCHORARRAY($B$213),$A$213:$A$220,0,0)</f>
        <v>4</v>
      </c>
      <c r="N48" s="7">
        <f>_xlfn.XLOOKUP(H48,Unidades!$C$3:$C$8,Unidades!$B$3:$B$8,0,0)</f>
        <v>3</v>
      </c>
      <c r="O48" s="140" t="str">
        <f t="shared" si="0"/>
        <v>INSERT INTO Operacao(OperacaoID, CulturaID, ParcelaID, TipoOperacaoID, DataRealizacao, Quantidade, UnidadeID) VALUES (47, 48, 104, 4,TO_DATE('06/02/2019','dd/mm/yyyy'), 7, 3);</v>
      </c>
      <c r="P48" s="140"/>
      <c r="Q48" s="140"/>
      <c r="R48" s="140"/>
      <c r="S48" s="140"/>
      <c r="T48" s="140"/>
      <c r="U48" s="140"/>
      <c r="V48" s="140"/>
      <c r="W48" s="140"/>
      <c r="X48" s="140"/>
      <c r="Y48" s="140"/>
      <c r="Z48" s="140"/>
      <c r="AA48" s="140"/>
    </row>
    <row r="49" spans="1:27" x14ac:dyDescent="0.25">
      <c r="A49" s="7">
        <v>102</v>
      </c>
      <c r="B49" t="s">
        <v>198</v>
      </c>
      <c r="C49" t="s">
        <v>190</v>
      </c>
      <c r="E49" t="s">
        <v>201</v>
      </c>
      <c r="F49" s="1">
        <v>43649</v>
      </c>
      <c r="G49">
        <v>1</v>
      </c>
      <c r="H49" t="s">
        <v>192</v>
      </c>
      <c r="K49" s="7">
        <f t="shared" si="1"/>
        <v>48</v>
      </c>
      <c r="L49" s="7">
        <f>_xlfn.XLOOKUP(E49,Plantas!$V$2:$V$96,Plantas!$U$2:$U$96,0,0)</f>
        <v>89</v>
      </c>
      <c r="M49" s="7" cm="1">
        <f t="array" ref="M49">_xlfn.XLOOKUP(C49,_xlfn.ANCHORARRAY($B$213),$A$213:$A$220,0,0)</f>
        <v>2</v>
      </c>
      <c r="N49" s="7">
        <f>_xlfn.XLOOKUP(H49,Unidades!$C$3:$C$8,Unidades!$B$3:$B$8,0,0)</f>
        <v>2</v>
      </c>
      <c r="O49" s="140" t="str">
        <f t="shared" si="0"/>
        <v>INSERT INTO Operacao(OperacaoID, CulturaID, ParcelaID, TipoOperacaoID, DataRealizacao, Quantidade, UnidadeID) VALUES (48, 89, 102, 2,TO_DATE('03/07/2019','dd/mm/yyyy'), 1, 2);</v>
      </c>
      <c r="P49" s="140"/>
      <c r="Q49" s="140"/>
      <c r="R49" s="140"/>
      <c r="S49" s="140"/>
      <c r="T49" s="140"/>
      <c r="U49" s="140"/>
      <c r="V49" s="140"/>
      <c r="W49" s="140"/>
      <c r="X49" s="140"/>
      <c r="Y49" s="140"/>
      <c r="Z49" s="140"/>
      <c r="AA49" s="140"/>
    </row>
    <row r="50" spans="1:27" x14ac:dyDescent="0.25">
      <c r="A50" s="7">
        <v>102</v>
      </c>
      <c r="B50" t="s">
        <v>198</v>
      </c>
      <c r="C50" t="s">
        <v>190</v>
      </c>
      <c r="E50" t="s">
        <v>199</v>
      </c>
      <c r="F50" s="1">
        <v>43649</v>
      </c>
      <c r="G50">
        <v>1.5</v>
      </c>
      <c r="H50" t="s">
        <v>192</v>
      </c>
      <c r="K50" s="7">
        <f t="shared" si="1"/>
        <v>49</v>
      </c>
      <c r="L50" s="7">
        <f>_xlfn.XLOOKUP(E50,Plantas!$V$2:$V$96,Plantas!$U$2:$U$96,0,0)</f>
        <v>92</v>
      </c>
      <c r="M50" s="7" cm="1">
        <f t="array" ref="M50">_xlfn.XLOOKUP(C50,_xlfn.ANCHORARRAY($B$213),$A$213:$A$220,0,0)</f>
        <v>2</v>
      </c>
      <c r="N50" s="7">
        <f>_xlfn.XLOOKUP(H50,Unidades!$C$3:$C$8,Unidades!$B$3:$B$8,0,0)</f>
        <v>2</v>
      </c>
      <c r="O50" s="140" t="str">
        <f t="shared" si="0"/>
        <v>INSERT INTO Operacao(OperacaoID, CulturaID, ParcelaID, TipoOperacaoID, DataRealizacao, Quantidade, UnidadeID) VALUES (49, 92, 102, 2,TO_DATE('03/07/2019','dd/mm/yyyy'), 1.5, 2);</v>
      </c>
      <c r="P50" s="140"/>
      <c r="Q50" s="140"/>
      <c r="R50" s="140"/>
      <c r="S50" s="140"/>
      <c r="T50" s="140"/>
      <c r="U50" s="140"/>
      <c r="V50" s="140"/>
      <c r="W50" s="140"/>
      <c r="X50" s="140"/>
      <c r="Y50" s="140"/>
      <c r="Z50" s="140"/>
      <c r="AA50" s="140"/>
    </row>
    <row r="51" spans="1:27" x14ac:dyDescent="0.25">
      <c r="A51" s="7">
        <v>104</v>
      </c>
      <c r="B51" t="s">
        <v>181</v>
      </c>
      <c r="C51" t="s">
        <v>190</v>
      </c>
      <c r="E51" t="s">
        <v>48</v>
      </c>
      <c r="F51" s="1">
        <v>43649</v>
      </c>
      <c r="G51">
        <v>4</v>
      </c>
      <c r="H51" t="s">
        <v>192</v>
      </c>
      <c r="K51" s="7">
        <f t="shared" si="1"/>
        <v>50</v>
      </c>
      <c r="L51" s="7">
        <f>_xlfn.XLOOKUP(E51,Plantas!$V$2:$V$96,Plantas!$U$2:$U$96,0,0)</f>
        <v>0</v>
      </c>
      <c r="M51" s="7" cm="1">
        <f t="array" ref="M51">_xlfn.XLOOKUP(C51,_xlfn.ANCHORARRAY($B$213),$A$213:$A$220,0,0)</f>
        <v>2</v>
      </c>
      <c r="N51" s="7">
        <f>_xlfn.XLOOKUP(H51,Unidades!$C$3:$C$8,Unidades!$B$3:$B$8,0,0)</f>
        <v>2</v>
      </c>
      <c r="O51" s="140" t="str">
        <f t="shared" si="0"/>
        <v>INSERT INTO Operacao(OperacaoID, CulturaID, ParcelaID, TipoOperacaoID, DataRealizacao, Quantidade, UnidadeID) VALUES (50, 0, 104, 2,TO_DATE('03/07/2019','dd/mm/yyyy'), 4, 2);</v>
      </c>
      <c r="P51" s="140"/>
      <c r="Q51" s="140"/>
      <c r="R51" s="140"/>
      <c r="S51" s="140"/>
      <c r="T51" s="140"/>
      <c r="U51" s="140"/>
      <c r="V51" s="140"/>
      <c r="W51" s="140"/>
      <c r="X51" s="140"/>
      <c r="Y51" s="140"/>
      <c r="Z51" s="140"/>
      <c r="AA51" s="140"/>
    </row>
    <row r="52" spans="1:27" x14ac:dyDescent="0.25">
      <c r="A52" s="7">
        <v>107</v>
      </c>
      <c r="B52" t="s">
        <v>245</v>
      </c>
      <c r="C52" t="s">
        <v>190</v>
      </c>
      <c r="E52" t="s">
        <v>240</v>
      </c>
      <c r="F52" s="1">
        <v>43656</v>
      </c>
      <c r="G52">
        <v>6</v>
      </c>
      <c r="H52" t="s">
        <v>192</v>
      </c>
      <c r="K52" s="7">
        <f t="shared" si="1"/>
        <v>51</v>
      </c>
      <c r="L52" s="7">
        <f>_xlfn.XLOOKUP(E52,Plantas!$V$2:$V$96,Plantas!$U$2:$U$96,0,0)</f>
        <v>0</v>
      </c>
      <c r="M52" s="7" cm="1">
        <f t="array" ref="M52">_xlfn.XLOOKUP(C52,_xlfn.ANCHORARRAY($B$213),$A$213:$A$220,0,0)</f>
        <v>2</v>
      </c>
      <c r="N52" s="7">
        <f>_xlfn.XLOOKUP(H52,Unidades!$C$3:$C$8,Unidades!$B$3:$B$8,0,0)</f>
        <v>2</v>
      </c>
      <c r="O52" s="140" t="str">
        <f t="shared" si="0"/>
        <v>INSERT INTO Operacao(OperacaoID, CulturaID, ParcelaID, TipoOperacaoID, DataRealizacao, Quantidade, UnidadeID) VALUES (51, 0, 107, 2,TO_DATE('10/07/2019','dd/mm/yyyy'), 6, 2);</v>
      </c>
      <c r="P52" s="140"/>
      <c r="Q52" s="140"/>
      <c r="R52" s="140"/>
      <c r="S52" s="140"/>
      <c r="T52" s="140"/>
      <c r="U52" s="140"/>
      <c r="V52" s="140"/>
      <c r="W52" s="140"/>
      <c r="X52" s="140"/>
      <c r="Y52" s="140"/>
      <c r="Z52" s="140"/>
      <c r="AA52" s="140"/>
    </row>
    <row r="53" spans="1:27" x14ac:dyDescent="0.25">
      <c r="A53" s="7">
        <v>102</v>
      </c>
      <c r="B53" t="s">
        <v>198</v>
      </c>
      <c r="C53" t="s">
        <v>190</v>
      </c>
      <c r="E53" t="s">
        <v>201</v>
      </c>
      <c r="F53" s="1">
        <v>43687</v>
      </c>
      <c r="G53">
        <v>1</v>
      </c>
      <c r="H53" t="s">
        <v>192</v>
      </c>
      <c r="K53" s="7">
        <f t="shared" si="1"/>
        <v>52</v>
      </c>
      <c r="L53" s="7">
        <f>_xlfn.XLOOKUP(E53,Plantas!$V$2:$V$96,Plantas!$U$2:$U$96,0,0)</f>
        <v>89</v>
      </c>
      <c r="M53" s="7" cm="1">
        <f t="array" ref="M53">_xlfn.XLOOKUP(C53,_xlfn.ANCHORARRAY($B$213),$A$213:$A$220,0,0)</f>
        <v>2</v>
      </c>
      <c r="N53" s="7">
        <f>_xlfn.XLOOKUP(H53,Unidades!$C$3:$C$8,Unidades!$B$3:$B$8,0,0)</f>
        <v>2</v>
      </c>
      <c r="O53" s="140" t="str">
        <f t="shared" si="0"/>
        <v>INSERT INTO Operacao(OperacaoID, CulturaID, ParcelaID, TipoOperacaoID, DataRealizacao, Quantidade, UnidadeID) VALUES (52, 89, 102, 2,TO_DATE('10/08/2019','dd/mm/yyyy'), 1, 2);</v>
      </c>
      <c r="P53" s="140"/>
      <c r="Q53" s="140"/>
      <c r="R53" s="140"/>
      <c r="S53" s="140"/>
      <c r="T53" s="140"/>
      <c r="U53" s="140"/>
      <c r="V53" s="140"/>
      <c r="W53" s="140"/>
      <c r="X53" s="140"/>
      <c r="Y53" s="140"/>
      <c r="Z53" s="140"/>
      <c r="AA53" s="140"/>
    </row>
    <row r="54" spans="1:27" x14ac:dyDescent="0.25">
      <c r="A54" s="7">
        <v>102</v>
      </c>
      <c r="B54" t="s">
        <v>198</v>
      </c>
      <c r="C54" t="s">
        <v>190</v>
      </c>
      <c r="E54" t="s">
        <v>199</v>
      </c>
      <c r="F54" s="1">
        <v>43687</v>
      </c>
      <c r="G54">
        <v>1.5</v>
      </c>
      <c r="H54" t="s">
        <v>192</v>
      </c>
      <c r="K54" s="7">
        <f t="shared" si="1"/>
        <v>53</v>
      </c>
      <c r="L54" s="7">
        <f>_xlfn.XLOOKUP(E54,Plantas!$V$2:$V$96,Plantas!$U$2:$U$96,0,0)</f>
        <v>92</v>
      </c>
      <c r="M54" s="7" cm="1">
        <f t="array" ref="M54">_xlfn.XLOOKUP(C54,_xlfn.ANCHORARRAY($B$213),$A$213:$A$220,0,0)</f>
        <v>2</v>
      </c>
      <c r="N54" s="7">
        <f>_xlfn.XLOOKUP(H54,Unidades!$C$3:$C$8,Unidades!$B$3:$B$8,0,0)</f>
        <v>2</v>
      </c>
      <c r="O54" s="140" t="str">
        <f t="shared" si="0"/>
        <v>INSERT INTO Operacao(OperacaoID, CulturaID, ParcelaID, TipoOperacaoID, DataRealizacao, Quantidade, UnidadeID) VALUES (53, 92, 102, 2,TO_DATE('10/08/2019','dd/mm/yyyy'), 1.5, 2);</v>
      </c>
      <c r="P54" s="140"/>
      <c r="Q54" s="140"/>
      <c r="R54" s="140"/>
      <c r="S54" s="140"/>
      <c r="T54" s="140"/>
      <c r="U54" s="140"/>
      <c r="V54" s="140"/>
      <c r="W54" s="140"/>
      <c r="X54" s="140"/>
      <c r="Y54" s="140"/>
      <c r="Z54" s="140"/>
      <c r="AA54" s="140"/>
    </row>
    <row r="55" spans="1:27" x14ac:dyDescent="0.25">
      <c r="A55" s="7">
        <v>104</v>
      </c>
      <c r="B55" t="s">
        <v>181</v>
      </c>
      <c r="C55" t="s">
        <v>190</v>
      </c>
      <c r="E55" t="s">
        <v>48</v>
      </c>
      <c r="F55" s="1">
        <v>43687</v>
      </c>
      <c r="G55">
        <v>4.5</v>
      </c>
      <c r="H55" t="s">
        <v>192</v>
      </c>
      <c r="K55" s="7">
        <f t="shared" si="1"/>
        <v>54</v>
      </c>
      <c r="L55" s="7">
        <f>_xlfn.XLOOKUP(E55,Plantas!$V$2:$V$96,Plantas!$U$2:$U$96,0,0)</f>
        <v>0</v>
      </c>
      <c r="M55" s="7" cm="1">
        <f t="array" ref="M55">_xlfn.XLOOKUP(C55,_xlfn.ANCHORARRAY($B$213),$A$213:$A$220,0,0)</f>
        <v>2</v>
      </c>
      <c r="N55" s="7">
        <f>_xlfn.XLOOKUP(H55,Unidades!$C$3:$C$8,Unidades!$B$3:$B$8,0,0)</f>
        <v>2</v>
      </c>
      <c r="O55" s="140" t="str">
        <f t="shared" si="0"/>
        <v>INSERT INTO Operacao(OperacaoID, CulturaID, ParcelaID, TipoOperacaoID, DataRealizacao, Quantidade, UnidadeID) VALUES (54, 0, 104, 2,TO_DATE('10/08/2019','dd/mm/yyyy'), 4.5, 2);</v>
      </c>
      <c r="P55" s="140"/>
      <c r="Q55" s="140"/>
      <c r="R55" s="140"/>
      <c r="S55" s="140"/>
      <c r="T55" s="140"/>
      <c r="U55" s="140"/>
      <c r="V55" s="140"/>
      <c r="W55" s="140"/>
      <c r="X55" s="140"/>
      <c r="Y55" s="140"/>
      <c r="Z55" s="140"/>
      <c r="AA55" s="140"/>
    </row>
    <row r="56" spans="1:27" x14ac:dyDescent="0.25">
      <c r="A56" s="7">
        <v>107</v>
      </c>
      <c r="B56" t="s">
        <v>245</v>
      </c>
      <c r="C56" t="s">
        <v>190</v>
      </c>
      <c r="E56" t="s">
        <v>240</v>
      </c>
      <c r="F56" s="1">
        <v>43688</v>
      </c>
      <c r="G56">
        <v>7</v>
      </c>
      <c r="H56" t="s">
        <v>192</v>
      </c>
      <c r="K56" s="7">
        <f t="shared" si="1"/>
        <v>55</v>
      </c>
      <c r="L56" s="7">
        <f>_xlfn.XLOOKUP(E56,Plantas!$V$2:$V$96,Plantas!$U$2:$U$96,0,0)</f>
        <v>0</v>
      </c>
      <c r="M56" s="7" cm="1">
        <f t="array" ref="M56">_xlfn.XLOOKUP(C56,_xlfn.ANCHORARRAY($B$213),$A$213:$A$220,0,0)</f>
        <v>2</v>
      </c>
      <c r="N56" s="7">
        <f>_xlfn.XLOOKUP(H56,Unidades!$C$3:$C$8,Unidades!$B$3:$B$8,0,0)</f>
        <v>2</v>
      </c>
      <c r="O56" s="140" t="str">
        <f t="shared" si="0"/>
        <v>INSERT INTO Operacao(OperacaoID, CulturaID, ParcelaID, TipoOperacaoID, DataRealizacao, Quantidade, UnidadeID) VALUES (55, 0, 107, 2,TO_DATE('11/08/2019','dd/mm/yyyy'), 7, 2);</v>
      </c>
      <c r="P56" s="140"/>
      <c r="Q56" s="140"/>
      <c r="R56" s="140"/>
      <c r="S56" s="140"/>
      <c r="T56" s="140"/>
      <c r="U56" s="140"/>
      <c r="V56" s="140"/>
      <c r="W56" s="140"/>
      <c r="X56" s="140"/>
      <c r="Y56" s="140"/>
      <c r="Z56" s="140"/>
      <c r="AA56" s="140"/>
    </row>
    <row r="57" spans="1:27" x14ac:dyDescent="0.25">
      <c r="A57" s="7">
        <v>102</v>
      </c>
      <c r="B57" t="s">
        <v>198</v>
      </c>
      <c r="C57" t="s">
        <v>5</v>
      </c>
      <c r="E57" t="s">
        <v>199</v>
      </c>
      <c r="F57" s="1">
        <v>43784</v>
      </c>
      <c r="G57">
        <v>30</v>
      </c>
      <c r="H57" t="s">
        <v>200</v>
      </c>
      <c r="K57" s="7">
        <f t="shared" si="1"/>
        <v>56</v>
      </c>
      <c r="L57" s="7">
        <f>_xlfn.XLOOKUP(E57,Plantas!$V$2:$V$96,Plantas!$U$2:$U$96,0,0)</f>
        <v>92</v>
      </c>
      <c r="M57" s="7" cm="1">
        <f t="array" ref="M57">_xlfn.XLOOKUP(C57,_xlfn.ANCHORARRAY($B$213),$A$213:$A$220,0,0)</f>
        <v>3</v>
      </c>
      <c r="N57" s="7">
        <f>_xlfn.XLOOKUP(H57,Unidades!$C$3:$C$8,Unidades!$B$3:$B$8,0,0)</f>
        <v>1</v>
      </c>
      <c r="O57" s="140" t="str">
        <f t="shared" si="0"/>
        <v>INSERT INTO Operacao(OperacaoID, CulturaID, ParcelaID, TipoOperacaoID, DataRealizacao, Quantidade, UnidadeID) VALUES (56, 92, 102, 3,TO_DATE('15/11/2019','dd/mm/yyyy'), 30, 1);</v>
      </c>
      <c r="P57" s="140"/>
      <c r="Q57" s="140"/>
      <c r="R57" s="140"/>
      <c r="S57" s="140"/>
      <c r="T57" s="140"/>
      <c r="U57" s="140"/>
      <c r="V57" s="140"/>
      <c r="W57" s="140"/>
      <c r="X57" s="140"/>
      <c r="Y57" s="140"/>
      <c r="Z57" s="140"/>
      <c r="AA57" s="140"/>
    </row>
    <row r="58" spans="1:27" x14ac:dyDescent="0.25">
      <c r="A58" s="7">
        <v>102</v>
      </c>
      <c r="B58" t="s">
        <v>198</v>
      </c>
      <c r="C58" t="s">
        <v>5</v>
      </c>
      <c r="E58" t="s">
        <v>201</v>
      </c>
      <c r="F58" s="1">
        <v>43784</v>
      </c>
      <c r="G58">
        <v>20</v>
      </c>
      <c r="H58" t="s">
        <v>200</v>
      </c>
      <c r="K58" s="7">
        <f t="shared" si="1"/>
        <v>57</v>
      </c>
      <c r="L58" s="7">
        <f>_xlfn.XLOOKUP(E58,Plantas!$V$2:$V$96,Plantas!$U$2:$U$96,0,0)</f>
        <v>89</v>
      </c>
      <c r="M58" s="7" cm="1">
        <f t="array" ref="M58">_xlfn.XLOOKUP(C58,_xlfn.ANCHORARRAY($B$213),$A$213:$A$220,0,0)</f>
        <v>3</v>
      </c>
      <c r="N58" s="7">
        <f>_xlfn.XLOOKUP(H58,Unidades!$C$3:$C$8,Unidades!$B$3:$B$8,0,0)</f>
        <v>1</v>
      </c>
      <c r="O58" s="140" t="str">
        <f t="shared" si="0"/>
        <v>INSERT INTO Operacao(OperacaoID, CulturaID, ParcelaID, TipoOperacaoID, DataRealizacao, Quantidade, UnidadeID) VALUES (57, 89, 102, 3,TO_DATE('15/11/2019','dd/mm/yyyy'), 20, 1);</v>
      </c>
      <c r="P58" s="140"/>
      <c r="Q58" s="140"/>
      <c r="R58" s="140"/>
      <c r="S58" s="140"/>
      <c r="T58" s="140"/>
      <c r="U58" s="140"/>
      <c r="V58" s="140"/>
      <c r="W58" s="140"/>
      <c r="X58" s="140"/>
      <c r="Y58" s="140"/>
      <c r="Z58" s="140"/>
      <c r="AA58" s="140"/>
    </row>
    <row r="59" spans="1:27" x14ac:dyDescent="0.25">
      <c r="A59" s="7">
        <v>107</v>
      </c>
      <c r="B59" t="s">
        <v>245</v>
      </c>
      <c r="C59" t="s">
        <v>5</v>
      </c>
      <c r="E59" t="s">
        <v>246</v>
      </c>
      <c r="F59" s="1">
        <v>43815</v>
      </c>
      <c r="G59">
        <v>500</v>
      </c>
      <c r="H59" t="s">
        <v>200</v>
      </c>
      <c r="K59" s="7">
        <f t="shared" si="1"/>
        <v>58</v>
      </c>
      <c r="L59" s="7">
        <f>_xlfn.XLOOKUP(E59,Plantas!$V$2:$V$96,Plantas!$U$2:$U$96,0,0)</f>
        <v>94</v>
      </c>
      <c r="M59" s="7" cm="1">
        <f t="array" ref="M59">_xlfn.XLOOKUP(C59,_xlfn.ANCHORARRAY($B$213),$A$213:$A$220,0,0)</f>
        <v>3</v>
      </c>
      <c r="N59" s="7">
        <f>_xlfn.XLOOKUP(H59,Unidades!$C$3:$C$8,Unidades!$B$3:$B$8,0,0)</f>
        <v>1</v>
      </c>
      <c r="O59" s="140" t="str">
        <f t="shared" si="0"/>
        <v>INSERT INTO Operacao(OperacaoID, CulturaID, ParcelaID, TipoOperacaoID, DataRealizacao, Quantidade, UnidadeID) VALUES (58, 94, 107, 3,TO_DATE('16/12/2019','dd/mm/yyyy'), 500, 1);</v>
      </c>
      <c r="P59" s="140"/>
      <c r="Q59" s="140"/>
      <c r="R59" s="140"/>
      <c r="S59" s="140"/>
      <c r="T59" s="140"/>
      <c r="U59" s="140"/>
      <c r="V59" s="140"/>
      <c r="W59" s="140"/>
      <c r="X59" s="140"/>
      <c r="Y59" s="140"/>
      <c r="Z59" s="140"/>
      <c r="AA59" s="140"/>
    </row>
    <row r="60" spans="1:27" x14ac:dyDescent="0.25">
      <c r="A60" s="7">
        <v>107</v>
      </c>
      <c r="B60" t="s">
        <v>245</v>
      </c>
      <c r="C60" t="s">
        <v>5</v>
      </c>
      <c r="E60" t="s">
        <v>250</v>
      </c>
      <c r="F60" s="1">
        <v>43817</v>
      </c>
      <c r="G60">
        <v>700</v>
      </c>
      <c r="H60" t="s">
        <v>200</v>
      </c>
      <c r="K60" s="7">
        <f t="shared" si="1"/>
        <v>59</v>
      </c>
      <c r="L60" s="7">
        <f>_xlfn.XLOOKUP(E60,Plantas!$V$2:$V$96,Plantas!$U$2:$U$96,0,0)</f>
        <v>95</v>
      </c>
      <c r="M60" s="7" cm="1">
        <f t="array" ref="M60">_xlfn.XLOOKUP(C60,_xlfn.ANCHORARRAY($B$213),$A$213:$A$220,0,0)</f>
        <v>3</v>
      </c>
      <c r="N60" s="7">
        <f>_xlfn.XLOOKUP(H60,Unidades!$C$3:$C$8,Unidades!$B$3:$B$8,0,0)</f>
        <v>1</v>
      </c>
      <c r="O60" s="140" t="str">
        <f t="shared" si="0"/>
        <v>INSERT INTO Operacao(OperacaoID, CulturaID, ParcelaID, TipoOperacaoID, DataRealizacao, Quantidade, UnidadeID) VALUES (59, 95, 107, 3,TO_DATE('18/12/2019','dd/mm/yyyy'), 700, 1);</v>
      </c>
      <c r="P60" s="140"/>
      <c r="Q60" s="140"/>
      <c r="R60" s="140"/>
      <c r="S60" s="140"/>
      <c r="T60" s="140"/>
      <c r="U60" s="140"/>
      <c r="V60" s="140"/>
      <c r="W60" s="140"/>
      <c r="X60" s="140"/>
      <c r="Y60" s="140"/>
      <c r="Z60" s="140"/>
      <c r="AA60" s="140"/>
    </row>
    <row r="61" spans="1:27" x14ac:dyDescent="0.25">
      <c r="A61" s="7">
        <v>107</v>
      </c>
      <c r="B61" t="s">
        <v>245</v>
      </c>
      <c r="C61" t="s">
        <v>251</v>
      </c>
      <c r="E61" t="s">
        <v>246</v>
      </c>
      <c r="F61" s="1">
        <v>43850</v>
      </c>
      <c r="G61">
        <v>2</v>
      </c>
      <c r="H61" t="s">
        <v>217</v>
      </c>
      <c r="I61" t="s">
        <v>142</v>
      </c>
      <c r="K61" s="7">
        <f t="shared" si="1"/>
        <v>60</v>
      </c>
      <c r="L61" s="7">
        <f>_xlfn.XLOOKUP(E61,Plantas!$V$2:$V$96,Plantas!$U$2:$U$96,0,0)</f>
        <v>94</v>
      </c>
      <c r="M61" s="7" cm="1">
        <f t="array" ref="M61">_xlfn.XLOOKUP(C61,_xlfn.ANCHORARRAY($B$213),$A$213:$A$220,0,0)</f>
        <v>5</v>
      </c>
      <c r="N61" s="7">
        <f>_xlfn.XLOOKUP(H61,Unidades!$C$3:$C$8,Unidades!$B$3:$B$8,0,0)</f>
        <v>3</v>
      </c>
      <c r="O61" s="140" t="str">
        <f t="shared" si="0"/>
        <v>INSERT INTO Operacao(OperacaoID, CulturaID, ParcelaID, TipoOperacaoID, DataRealizacao, Quantidade, UnidadeID) VALUES (60, 94, 107, 5,TO_DATE('20/01/2020','dd/mm/yyyy'), 2, 3);</v>
      </c>
      <c r="P61" s="140"/>
      <c r="Q61" s="140"/>
      <c r="R61" s="140"/>
      <c r="S61" s="140"/>
      <c r="T61" s="140"/>
      <c r="U61" s="140"/>
      <c r="V61" s="140"/>
      <c r="W61" s="140"/>
      <c r="X61" s="140"/>
      <c r="Y61" s="140"/>
      <c r="Z61" s="140"/>
      <c r="AA61" s="140"/>
    </row>
    <row r="62" spans="1:27" x14ac:dyDescent="0.25">
      <c r="A62" s="7">
        <v>107</v>
      </c>
      <c r="B62" t="s">
        <v>245</v>
      </c>
      <c r="C62" t="s">
        <v>251</v>
      </c>
      <c r="E62" t="s">
        <v>250</v>
      </c>
      <c r="F62" s="1">
        <v>43850</v>
      </c>
      <c r="G62">
        <v>2.5</v>
      </c>
      <c r="H62" t="s">
        <v>217</v>
      </c>
      <c r="I62" t="s">
        <v>142</v>
      </c>
      <c r="K62" s="7">
        <f t="shared" si="1"/>
        <v>61</v>
      </c>
      <c r="L62" s="7">
        <f>_xlfn.XLOOKUP(E62,Plantas!$V$2:$V$96,Plantas!$U$2:$U$96,0,0)</f>
        <v>95</v>
      </c>
      <c r="M62" s="7" cm="1">
        <f t="array" ref="M62">_xlfn.XLOOKUP(C62,_xlfn.ANCHORARRAY($B$213),$A$213:$A$220,0,0)</f>
        <v>5</v>
      </c>
      <c r="N62" s="7">
        <f>_xlfn.XLOOKUP(H62,Unidades!$C$3:$C$8,Unidades!$B$3:$B$8,0,0)</f>
        <v>3</v>
      </c>
      <c r="O62" s="140" t="str">
        <f t="shared" si="0"/>
        <v>INSERT INTO Operacao(OperacaoID, CulturaID, ParcelaID, TipoOperacaoID, DataRealizacao, Quantidade, UnidadeID) VALUES (61, 95, 107, 5,TO_DATE('20/01/2020','dd/mm/yyyy'), 2.5, 3);</v>
      </c>
      <c r="P62" s="140"/>
      <c r="Q62" s="140"/>
      <c r="R62" s="140"/>
      <c r="S62" s="140"/>
      <c r="T62" s="140"/>
      <c r="U62" s="140"/>
      <c r="V62" s="140"/>
      <c r="W62" s="140"/>
      <c r="X62" s="140"/>
      <c r="Y62" s="140"/>
      <c r="Z62" s="140"/>
      <c r="AA62" s="140"/>
    </row>
    <row r="63" spans="1:27" x14ac:dyDescent="0.25">
      <c r="A63" s="7">
        <v>106</v>
      </c>
      <c r="B63" t="s">
        <v>219</v>
      </c>
      <c r="C63" t="s">
        <v>213</v>
      </c>
      <c r="E63" t="s">
        <v>220</v>
      </c>
      <c r="F63" s="1">
        <v>43902</v>
      </c>
      <c r="G63">
        <v>0.9</v>
      </c>
      <c r="H63" t="s">
        <v>217</v>
      </c>
      <c r="K63" s="7">
        <f t="shared" si="1"/>
        <v>62</v>
      </c>
      <c r="L63" s="7">
        <f>_xlfn.XLOOKUP(E63,Plantas!$V$2:$V$96,Plantas!$U$2:$U$96,0,0)</f>
        <v>79</v>
      </c>
      <c r="M63" s="7" cm="1">
        <f t="array" ref="M63">_xlfn.XLOOKUP(C63,_xlfn.ANCHORARRAY($B$213),$A$213:$A$220,0,0)</f>
        <v>6</v>
      </c>
      <c r="N63" s="7">
        <f>_xlfn.XLOOKUP(H63,Unidades!$C$3:$C$8,Unidades!$B$3:$B$8,0,0)</f>
        <v>3</v>
      </c>
      <c r="O63" s="140" t="str">
        <f t="shared" si="0"/>
        <v>INSERT INTO Operacao(OperacaoID, CulturaID, ParcelaID, TipoOperacaoID, DataRealizacao, Quantidade, UnidadeID) VALUES (62, 79, 106, 6,TO_DATE('12/03/2020','dd/mm/yyyy'), 0.9, 3);</v>
      </c>
      <c r="P63" s="140"/>
      <c r="Q63" s="140"/>
      <c r="R63" s="140"/>
      <c r="S63" s="140"/>
      <c r="T63" s="140"/>
      <c r="U63" s="140"/>
      <c r="V63" s="140"/>
      <c r="W63" s="140"/>
      <c r="X63" s="140"/>
      <c r="Y63" s="140"/>
      <c r="Z63" s="140"/>
      <c r="AA63" s="140"/>
    </row>
    <row r="64" spans="1:27" x14ac:dyDescent="0.25">
      <c r="A64" s="7">
        <v>103</v>
      </c>
      <c r="B64" t="s">
        <v>180</v>
      </c>
      <c r="C64" t="s">
        <v>215</v>
      </c>
      <c r="D64" t="s">
        <v>227</v>
      </c>
      <c r="F64" s="1">
        <v>43920</v>
      </c>
      <c r="G64">
        <v>600</v>
      </c>
      <c r="H64" t="s">
        <v>217</v>
      </c>
      <c r="I64" t="s">
        <v>171</v>
      </c>
      <c r="K64" s="7">
        <f t="shared" si="1"/>
        <v>63</v>
      </c>
      <c r="L64" s="7">
        <f>_xlfn.XLOOKUP(E64,Plantas!$V$2:$V$96,Plantas!$U$2:$U$96,0,0)</f>
        <v>0</v>
      </c>
      <c r="M64" s="7" cm="1">
        <f t="array" ref="M64">_xlfn.XLOOKUP(C64,_xlfn.ANCHORARRAY($B$213),$A$213:$A$220,0,0)</f>
        <v>4</v>
      </c>
      <c r="N64" s="7">
        <f>_xlfn.XLOOKUP(H64,Unidades!$C$3:$C$8,Unidades!$B$3:$B$8,0,0)</f>
        <v>3</v>
      </c>
      <c r="O64" s="140" t="str">
        <f t="shared" si="0"/>
        <v>INSERT INTO Operacao(OperacaoID, CulturaID, ParcelaID, TipoOperacaoID, DataRealizacao, Quantidade, UnidadeID) VALUES (63, 0, 103, 4,TO_DATE('30/03/2020','dd/mm/yyyy'), 600, 3);</v>
      </c>
      <c r="P64" s="140"/>
      <c r="Q64" s="140"/>
      <c r="R64" s="140"/>
      <c r="S64" s="140"/>
      <c r="T64" s="140"/>
      <c r="U64" s="140"/>
      <c r="V64" s="140"/>
      <c r="W64" s="140"/>
      <c r="X64" s="140"/>
      <c r="Y64" s="140"/>
      <c r="Z64" s="140"/>
      <c r="AA64" s="140"/>
    </row>
    <row r="65" spans="1:27" x14ac:dyDescent="0.25">
      <c r="A65" s="7">
        <v>103</v>
      </c>
      <c r="B65" t="s">
        <v>180</v>
      </c>
      <c r="C65" t="s">
        <v>213</v>
      </c>
      <c r="E65" t="s">
        <v>238</v>
      </c>
      <c r="F65" s="1">
        <v>43926</v>
      </c>
      <c r="G65">
        <v>1.2</v>
      </c>
      <c r="H65" t="s">
        <v>178</v>
      </c>
      <c r="K65" s="7">
        <f t="shared" si="1"/>
        <v>64</v>
      </c>
      <c r="L65" s="7">
        <f>_xlfn.XLOOKUP(E65,Plantas!$V$2:$V$96,Plantas!$U$2:$U$96,0,0)</f>
        <v>82</v>
      </c>
      <c r="M65" s="7" cm="1">
        <f t="array" ref="M65">_xlfn.XLOOKUP(C65,_xlfn.ANCHORARRAY($B$213),$A$213:$A$220,0,0)</f>
        <v>6</v>
      </c>
      <c r="N65" s="7">
        <f>_xlfn.XLOOKUP(H65,Unidades!$C$3:$C$8,Unidades!$B$3:$B$8,0,0)</f>
        <v>4</v>
      </c>
      <c r="O65" s="140" t="str">
        <f t="shared" si="0"/>
        <v>INSERT INTO Operacao(OperacaoID, CulturaID, ParcelaID, TipoOperacaoID, DataRealizacao, Quantidade, UnidadeID) VALUES (64, 82, 103, 6,TO_DATE('05/04/2020','dd/mm/yyyy'), 1.2, 4);</v>
      </c>
      <c r="P65" s="140"/>
      <c r="Q65" s="140"/>
      <c r="R65" s="140"/>
      <c r="S65" s="140"/>
      <c r="T65" s="140"/>
      <c r="U65" s="140"/>
      <c r="V65" s="140"/>
      <c r="W65" s="140"/>
      <c r="X65" s="140"/>
      <c r="Y65" s="140"/>
      <c r="Z65" s="140"/>
      <c r="AA65" s="140"/>
    </row>
    <row r="66" spans="1:27" x14ac:dyDescent="0.25">
      <c r="A66" s="7">
        <v>106</v>
      </c>
      <c r="B66" t="s">
        <v>219</v>
      </c>
      <c r="C66" t="s">
        <v>7</v>
      </c>
      <c r="E66" t="s">
        <v>220</v>
      </c>
      <c r="F66" s="1">
        <v>43956</v>
      </c>
      <c r="G66">
        <v>2200</v>
      </c>
      <c r="H66" t="s">
        <v>217</v>
      </c>
      <c r="K66" s="7">
        <f t="shared" si="1"/>
        <v>65</v>
      </c>
      <c r="L66" s="7">
        <f>_xlfn.XLOOKUP(E66,Plantas!$V$2:$V$96,Plantas!$U$2:$U$96,0,0)</f>
        <v>79</v>
      </c>
      <c r="M66" s="7" cm="1">
        <f t="array" ref="M66">_xlfn.XLOOKUP(C66,_xlfn.ANCHORARRAY($B$213),$A$213:$A$220,0,0)</f>
        <v>7</v>
      </c>
      <c r="N66" s="7">
        <f>_xlfn.XLOOKUP(H66,Unidades!$C$3:$C$8,Unidades!$B$3:$B$8,0,0)</f>
        <v>3</v>
      </c>
      <c r="O66" s="140" t="str">
        <f t="shared" si="0"/>
        <v>INSERT INTO Operacao(OperacaoID, CulturaID, ParcelaID, TipoOperacaoID, DataRealizacao, Quantidade, UnidadeID) VALUES (65, 79, 106, 7,TO_DATE('05/05/2020','dd/mm/yyyy'), 2200, 3);</v>
      </c>
      <c r="P66" s="140"/>
      <c r="Q66" s="140"/>
      <c r="R66" s="140"/>
      <c r="S66" s="140"/>
      <c r="T66" s="140"/>
      <c r="U66" s="140"/>
      <c r="V66" s="140"/>
      <c r="W66" s="140"/>
      <c r="X66" s="140"/>
      <c r="Y66" s="140"/>
      <c r="Z66" s="140"/>
      <c r="AA66" s="140"/>
    </row>
    <row r="67" spans="1:27" x14ac:dyDescent="0.25">
      <c r="A67" s="7">
        <v>106</v>
      </c>
      <c r="B67" t="s">
        <v>219</v>
      </c>
      <c r="C67" t="s">
        <v>7</v>
      </c>
      <c r="E67" t="s">
        <v>220</v>
      </c>
      <c r="F67" s="1">
        <v>43966</v>
      </c>
      <c r="G67">
        <v>1400</v>
      </c>
      <c r="H67" t="s">
        <v>217</v>
      </c>
      <c r="K67" s="7">
        <f t="shared" si="1"/>
        <v>66</v>
      </c>
      <c r="L67" s="7">
        <f>_xlfn.XLOOKUP(E67,Plantas!$V$2:$V$96,Plantas!$U$2:$U$96,0,0)</f>
        <v>79</v>
      </c>
      <c r="M67" s="7" cm="1">
        <f t="array" ref="M67">_xlfn.XLOOKUP(C67,_xlfn.ANCHORARRAY($B$213),$A$213:$A$220,0,0)</f>
        <v>7</v>
      </c>
      <c r="N67" s="7">
        <f>_xlfn.XLOOKUP(H67,Unidades!$C$3:$C$8,Unidades!$B$3:$B$8,0,0)</f>
        <v>3</v>
      </c>
      <c r="O67" s="140" t="str">
        <f t="shared" ref="O67:O130" si="2">"INSERT INTO Operacao(OperacaoID, CulturaID, ParcelaID, TipoOperacaoID, DataRealizacao, Quantidade, UnidadeID) VALUES ("&amp;K67&amp;", "&amp;L67&amp;", "&amp;A67&amp;", "&amp;M67&amp;",TO_DATE('"&amp;TEXT(F67,"dd/mm/aaaa")&amp;"','dd/mm/yyyy'), "&amp;SUBSTITUTE(G67,",",".")&amp;", "&amp;N67&amp;");"</f>
        <v>INSERT INTO Operacao(OperacaoID, CulturaID, ParcelaID, TipoOperacaoID, DataRealizacao, Quantidade, UnidadeID) VALUES (66, 79, 106, 7,TO_DATE('15/05/2020','dd/mm/yyyy'), 1400, 3);</v>
      </c>
      <c r="P67" s="140"/>
      <c r="Q67" s="140"/>
      <c r="R67" s="140"/>
      <c r="S67" s="140"/>
      <c r="T67" s="140"/>
      <c r="U67" s="140"/>
      <c r="V67" s="140"/>
      <c r="W67" s="140"/>
      <c r="X67" s="140"/>
      <c r="Y67" s="140"/>
      <c r="Z67" s="140"/>
      <c r="AA67" s="140"/>
    </row>
    <row r="68" spans="1:27" x14ac:dyDescent="0.25">
      <c r="A68" s="7">
        <v>106</v>
      </c>
      <c r="B68" t="s">
        <v>219</v>
      </c>
      <c r="C68" t="s">
        <v>213</v>
      </c>
      <c r="E68" t="s">
        <v>221</v>
      </c>
      <c r="F68" s="1">
        <v>43984</v>
      </c>
      <c r="G68">
        <v>0.6</v>
      </c>
      <c r="H68" t="s">
        <v>217</v>
      </c>
      <c r="K68" s="7">
        <f t="shared" ref="K68:K131" si="3">K67+1</f>
        <v>67</v>
      </c>
      <c r="L68" s="7">
        <f>_xlfn.XLOOKUP(E68,Plantas!$V$2:$V$96,Plantas!$U$2:$U$96,0,0)</f>
        <v>78</v>
      </c>
      <c r="M68" s="7" cm="1">
        <f t="array" ref="M68">_xlfn.XLOOKUP(C68,_xlfn.ANCHORARRAY($B$213),$A$213:$A$220,0,0)</f>
        <v>6</v>
      </c>
      <c r="N68" s="7">
        <f>_xlfn.XLOOKUP(H68,Unidades!$C$3:$C$8,Unidades!$B$3:$B$8,0,0)</f>
        <v>3</v>
      </c>
      <c r="O68" s="140" t="str">
        <f t="shared" si="2"/>
        <v>INSERT INTO Operacao(OperacaoID, CulturaID, ParcelaID, TipoOperacaoID, DataRealizacao, Quantidade, UnidadeID) VALUES (67, 78, 106, 6,TO_DATE('02/06/2020','dd/mm/yyyy'), 0.6, 3);</v>
      </c>
      <c r="P68" s="140"/>
      <c r="Q68" s="140"/>
      <c r="R68" s="140"/>
      <c r="S68" s="140"/>
      <c r="T68" s="140"/>
      <c r="U68" s="140"/>
      <c r="V68" s="140"/>
      <c r="W68" s="140"/>
      <c r="X68" s="140"/>
      <c r="Y68" s="140"/>
      <c r="Z68" s="140"/>
      <c r="AA68" s="140"/>
    </row>
    <row r="69" spans="1:27" x14ac:dyDescent="0.25">
      <c r="A69" s="7">
        <v>102</v>
      </c>
      <c r="B69" t="s">
        <v>198</v>
      </c>
      <c r="C69" t="s">
        <v>190</v>
      </c>
      <c r="E69" t="s">
        <v>201</v>
      </c>
      <c r="F69" s="1">
        <v>44015</v>
      </c>
      <c r="G69">
        <v>1</v>
      </c>
      <c r="H69" t="s">
        <v>192</v>
      </c>
      <c r="K69" s="7">
        <f t="shared" si="3"/>
        <v>68</v>
      </c>
      <c r="L69" s="7">
        <f>_xlfn.XLOOKUP(E69,Plantas!$V$2:$V$96,Plantas!$U$2:$U$96,0,0)</f>
        <v>89</v>
      </c>
      <c r="M69" s="7" cm="1">
        <f t="array" ref="M69">_xlfn.XLOOKUP(C69,_xlfn.ANCHORARRAY($B$213),$A$213:$A$220,0,0)</f>
        <v>2</v>
      </c>
      <c r="N69" s="7">
        <f>_xlfn.XLOOKUP(H69,Unidades!$C$3:$C$8,Unidades!$B$3:$B$8,0,0)</f>
        <v>2</v>
      </c>
      <c r="O69" s="140" t="str">
        <f t="shared" si="2"/>
        <v>INSERT INTO Operacao(OperacaoID, CulturaID, ParcelaID, TipoOperacaoID, DataRealizacao, Quantidade, UnidadeID) VALUES (68, 89, 102, 2,TO_DATE('03/07/2020','dd/mm/yyyy'), 1, 2);</v>
      </c>
      <c r="P69" s="140"/>
      <c r="Q69" s="140"/>
      <c r="R69" s="140"/>
      <c r="S69" s="140"/>
      <c r="T69" s="140"/>
      <c r="U69" s="140"/>
      <c r="V69" s="140"/>
      <c r="W69" s="140"/>
      <c r="X69" s="140"/>
      <c r="Y69" s="140"/>
      <c r="Z69" s="140"/>
      <c r="AA69" s="140"/>
    </row>
    <row r="70" spans="1:27" x14ac:dyDescent="0.25">
      <c r="A70" s="7">
        <v>102</v>
      </c>
      <c r="B70" t="s">
        <v>198</v>
      </c>
      <c r="C70" t="s">
        <v>190</v>
      </c>
      <c r="E70" t="s">
        <v>199</v>
      </c>
      <c r="F70" s="1">
        <v>44015</v>
      </c>
      <c r="G70">
        <v>1.5</v>
      </c>
      <c r="H70" t="s">
        <v>192</v>
      </c>
      <c r="K70" s="7">
        <f t="shared" si="3"/>
        <v>69</v>
      </c>
      <c r="L70" s="7">
        <f>_xlfn.XLOOKUP(E70,Plantas!$V$2:$V$96,Plantas!$U$2:$U$96,0,0)</f>
        <v>92</v>
      </c>
      <c r="M70" s="7" cm="1">
        <f t="array" ref="M70">_xlfn.XLOOKUP(C70,_xlfn.ANCHORARRAY($B$213),$A$213:$A$220,0,0)</f>
        <v>2</v>
      </c>
      <c r="N70" s="7">
        <f>_xlfn.XLOOKUP(H70,Unidades!$C$3:$C$8,Unidades!$B$3:$B$8,0,0)</f>
        <v>2</v>
      </c>
      <c r="O70" s="140" t="str">
        <f t="shared" si="2"/>
        <v>INSERT INTO Operacao(OperacaoID, CulturaID, ParcelaID, TipoOperacaoID, DataRealizacao, Quantidade, UnidadeID) VALUES (69, 92, 102, 2,TO_DATE('03/07/2020','dd/mm/yyyy'), 1.5, 2);</v>
      </c>
      <c r="P70" s="140"/>
      <c r="Q70" s="140"/>
      <c r="R70" s="140"/>
      <c r="S70" s="140"/>
      <c r="T70" s="140"/>
      <c r="U70" s="140"/>
      <c r="V70" s="140"/>
      <c r="W70" s="140"/>
      <c r="X70" s="140"/>
      <c r="Y70" s="140"/>
      <c r="Z70" s="140"/>
      <c r="AA70" s="140"/>
    </row>
    <row r="71" spans="1:27" x14ac:dyDescent="0.25">
      <c r="A71" s="7">
        <v>107</v>
      </c>
      <c r="B71" t="s">
        <v>245</v>
      </c>
      <c r="C71" t="s">
        <v>190</v>
      </c>
      <c r="E71" t="s">
        <v>240</v>
      </c>
      <c r="F71" s="1">
        <v>44022</v>
      </c>
      <c r="G71">
        <v>6</v>
      </c>
      <c r="H71" t="s">
        <v>192</v>
      </c>
      <c r="K71" s="7">
        <f t="shared" si="3"/>
        <v>70</v>
      </c>
      <c r="L71" s="7">
        <f>_xlfn.XLOOKUP(E71,Plantas!$V$2:$V$96,Plantas!$U$2:$U$96,0,0)</f>
        <v>0</v>
      </c>
      <c r="M71" s="7" cm="1">
        <f t="array" ref="M71">_xlfn.XLOOKUP(C71,_xlfn.ANCHORARRAY($B$213),$A$213:$A$220,0,0)</f>
        <v>2</v>
      </c>
      <c r="N71" s="7">
        <f>_xlfn.XLOOKUP(H71,Unidades!$C$3:$C$8,Unidades!$B$3:$B$8,0,0)</f>
        <v>2</v>
      </c>
      <c r="O71" s="140" t="str">
        <f t="shared" si="2"/>
        <v>INSERT INTO Operacao(OperacaoID, CulturaID, ParcelaID, TipoOperacaoID, DataRealizacao, Quantidade, UnidadeID) VALUES (70, 0, 107, 2,TO_DATE('10/07/2020','dd/mm/yyyy'), 6, 2);</v>
      </c>
      <c r="P71" s="140"/>
      <c r="Q71" s="140"/>
      <c r="R71" s="140"/>
      <c r="S71" s="140"/>
      <c r="T71" s="140"/>
      <c r="U71" s="140"/>
      <c r="V71" s="140"/>
      <c r="W71" s="140"/>
      <c r="X71" s="140"/>
      <c r="Y71" s="140"/>
      <c r="Z71" s="140"/>
      <c r="AA71" s="140"/>
    </row>
    <row r="72" spans="1:27" x14ac:dyDescent="0.25">
      <c r="A72" s="7">
        <v>103</v>
      </c>
      <c r="B72" t="s">
        <v>180</v>
      </c>
      <c r="C72" t="s">
        <v>190</v>
      </c>
      <c r="E72" t="s">
        <v>238</v>
      </c>
      <c r="F72" s="1">
        <v>44024</v>
      </c>
      <c r="G72">
        <v>15</v>
      </c>
      <c r="H72" t="s">
        <v>192</v>
      </c>
      <c r="K72" s="7">
        <f t="shared" si="3"/>
        <v>71</v>
      </c>
      <c r="L72" s="7">
        <f>_xlfn.XLOOKUP(E72,Plantas!$V$2:$V$96,Plantas!$U$2:$U$96,0,0)</f>
        <v>82</v>
      </c>
      <c r="M72" s="7" cm="1">
        <f t="array" ref="M72">_xlfn.XLOOKUP(C72,_xlfn.ANCHORARRAY($B$213),$A$213:$A$220,0,0)</f>
        <v>2</v>
      </c>
      <c r="N72" s="7">
        <f>_xlfn.XLOOKUP(H72,Unidades!$C$3:$C$8,Unidades!$B$3:$B$8,0,0)</f>
        <v>2</v>
      </c>
      <c r="O72" s="140" t="str">
        <f t="shared" si="2"/>
        <v>INSERT INTO Operacao(OperacaoID, CulturaID, ParcelaID, TipoOperacaoID, DataRealizacao, Quantidade, UnidadeID) VALUES (71, 82, 103, 2,TO_DATE('12/07/2020','dd/mm/yyyy'), 15, 2);</v>
      </c>
      <c r="P72" s="140"/>
      <c r="Q72" s="140"/>
      <c r="R72" s="140"/>
      <c r="S72" s="140"/>
      <c r="T72" s="140"/>
      <c r="U72" s="140"/>
      <c r="V72" s="140"/>
      <c r="W72" s="140"/>
      <c r="X72" s="140"/>
      <c r="Y72" s="140"/>
      <c r="Z72" s="140"/>
      <c r="AA72" s="140"/>
    </row>
    <row r="73" spans="1:27" x14ac:dyDescent="0.25">
      <c r="A73" s="7">
        <v>106</v>
      </c>
      <c r="B73" t="s">
        <v>219</v>
      </c>
      <c r="C73" t="s">
        <v>190</v>
      </c>
      <c r="E73" t="s">
        <v>221</v>
      </c>
      <c r="F73" s="1">
        <v>44027</v>
      </c>
      <c r="G73">
        <v>2.5</v>
      </c>
      <c r="H73" t="s">
        <v>192</v>
      </c>
      <c r="K73" s="7">
        <f t="shared" si="3"/>
        <v>72</v>
      </c>
      <c r="L73" s="7">
        <f>_xlfn.XLOOKUP(E73,Plantas!$V$2:$V$96,Plantas!$U$2:$U$96,0,0)</f>
        <v>78</v>
      </c>
      <c r="M73" s="7" cm="1">
        <f t="array" ref="M73">_xlfn.XLOOKUP(C73,_xlfn.ANCHORARRAY($B$213),$A$213:$A$220,0,0)</f>
        <v>2</v>
      </c>
      <c r="N73" s="7">
        <f>_xlfn.XLOOKUP(H73,Unidades!$C$3:$C$8,Unidades!$B$3:$B$8,0,0)</f>
        <v>2</v>
      </c>
      <c r="O73" s="140" t="str">
        <f t="shared" si="2"/>
        <v>INSERT INTO Operacao(OperacaoID, CulturaID, ParcelaID, TipoOperacaoID, DataRealizacao, Quantidade, UnidadeID) VALUES (72, 78, 106, 2,TO_DATE('15/07/2020','dd/mm/yyyy'), 2.5, 2);</v>
      </c>
      <c r="P73" s="140"/>
      <c r="Q73" s="140"/>
      <c r="R73" s="140"/>
      <c r="S73" s="140"/>
      <c r="T73" s="140"/>
      <c r="U73" s="140"/>
      <c r="V73" s="140"/>
      <c r="W73" s="140"/>
      <c r="X73" s="140"/>
      <c r="Y73" s="140"/>
      <c r="Z73" s="140"/>
      <c r="AA73" s="140"/>
    </row>
    <row r="74" spans="1:27" x14ac:dyDescent="0.25">
      <c r="A74" s="7">
        <v>103</v>
      </c>
      <c r="B74" t="s">
        <v>180</v>
      </c>
      <c r="C74" t="s">
        <v>190</v>
      </c>
      <c r="E74" t="s">
        <v>238</v>
      </c>
      <c r="F74" s="1">
        <v>44040</v>
      </c>
      <c r="G74">
        <v>15</v>
      </c>
      <c r="H74" t="s">
        <v>192</v>
      </c>
      <c r="K74" s="7">
        <f t="shared" si="3"/>
        <v>73</v>
      </c>
      <c r="L74" s="7">
        <f>_xlfn.XLOOKUP(E74,Plantas!$V$2:$V$96,Plantas!$U$2:$U$96,0,0)</f>
        <v>82</v>
      </c>
      <c r="M74" s="7" cm="1">
        <f t="array" ref="M74">_xlfn.XLOOKUP(C74,_xlfn.ANCHORARRAY($B$213),$A$213:$A$220,0,0)</f>
        <v>2</v>
      </c>
      <c r="N74" s="7">
        <f>_xlfn.XLOOKUP(H74,Unidades!$C$3:$C$8,Unidades!$B$3:$B$8,0,0)</f>
        <v>2</v>
      </c>
      <c r="O74" s="140" t="str">
        <f t="shared" si="2"/>
        <v>INSERT INTO Operacao(OperacaoID, CulturaID, ParcelaID, TipoOperacaoID, DataRealizacao, Quantidade, UnidadeID) VALUES (73, 82, 103, 2,TO_DATE('28/07/2020','dd/mm/yyyy'), 15, 2);</v>
      </c>
      <c r="P74" s="140"/>
      <c r="Q74" s="140"/>
      <c r="R74" s="140"/>
      <c r="S74" s="140"/>
      <c r="T74" s="140"/>
      <c r="U74" s="140"/>
      <c r="V74" s="140"/>
      <c r="W74" s="140"/>
      <c r="X74" s="140"/>
      <c r="Y74" s="140"/>
      <c r="Z74" s="140"/>
      <c r="AA74" s="140"/>
    </row>
    <row r="75" spans="1:27" x14ac:dyDescent="0.25">
      <c r="A75" s="7">
        <v>102</v>
      </c>
      <c r="B75" t="s">
        <v>198</v>
      </c>
      <c r="C75" t="s">
        <v>190</v>
      </c>
      <c r="E75" t="s">
        <v>201</v>
      </c>
      <c r="F75" s="1">
        <v>44053</v>
      </c>
      <c r="G75">
        <v>1</v>
      </c>
      <c r="H75" t="s">
        <v>192</v>
      </c>
      <c r="K75" s="7">
        <f t="shared" si="3"/>
        <v>74</v>
      </c>
      <c r="L75" s="7">
        <f>_xlfn.XLOOKUP(E75,Plantas!$V$2:$V$96,Plantas!$U$2:$U$96,0,0)</f>
        <v>89</v>
      </c>
      <c r="M75" s="7" cm="1">
        <f t="array" ref="M75">_xlfn.XLOOKUP(C75,_xlfn.ANCHORARRAY($B$213),$A$213:$A$220,0,0)</f>
        <v>2</v>
      </c>
      <c r="N75" s="7">
        <f>_xlfn.XLOOKUP(H75,Unidades!$C$3:$C$8,Unidades!$B$3:$B$8,0,0)</f>
        <v>2</v>
      </c>
      <c r="O75" s="140" t="str">
        <f t="shared" si="2"/>
        <v>INSERT INTO Operacao(OperacaoID, CulturaID, ParcelaID, TipoOperacaoID, DataRealizacao, Quantidade, UnidadeID) VALUES (74, 89, 102, 2,TO_DATE('10/08/2020','dd/mm/yyyy'), 1, 2);</v>
      </c>
      <c r="P75" s="140"/>
      <c r="Q75" s="140"/>
      <c r="R75" s="140"/>
      <c r="S75" s="140"/>
      <c r="T75" s="140"/>
      <c r="U75" s="140"/>
      <c r="V75" s="140"/>
      <c r="W75" s="140"/>
      <c r="X75" s="140"/>
      <c r="Y75" s="140"/>
      <c r="Z75" s="140"/>
      <c r="AA75" s="140"/>
    </row>
    <row r="76" spans="1:27" x14ac:dyDescent="0.25">
      <c r="A76" s="7">
        <v>102</v>
      </c>
      <c r="B76" t="s">
        <v>198</v>
      </c>
      <c r="C76" t="s">
        <v>190</v>
      </c>
      <c r="E76" t="s">
        <v>199</v>
      </c>
      <c r="F76" s="1">
        <v>44053</v>
      </c>
      <c r="G76">
        <v>1.5</v>
      </c>
      <c r="H76" t="s">
        <v>192</v>
      </c>
      <c r="K76" s="7">
        <f t="shared" si="3"/>
        <v>75</v>
      </c>
      <c r="L76" s="7">
        <f>_xlfn.XLOOKUP(E76,Plantas!$V$2:$V$96,Plantas!$U$2:$U$96,0,0)</f>
        <v>92</v>
      </c>
      <c r="M76" s="7" cm="1">
        <f t="array" ref="M76">_xlfn.XLOOKUP(C76,_xlfn.ANCHORARRAY($B$213),$A$213:$A$220,0,0)</f>
        <v>2</v>
      </c>
      <c r="N76" s="7">
        <f>_xlfn.XLOOKUP(H76,Unidades!$C$3:$C$8,Unidades!$B$3:$B$8,0,0)</f>
        <v>2</v>
      </c>
      <c r="O76" s="140" t="str">
        <f t="shared" si="2"/>
        <v>INSERT INTO Operacao(OperacaoID, CulturaID, ParcelaID, TipoOperacaoID, DataRealizacao, Quantidade, UnidadeID) VALUES (75, 92, 102, 2,TO_DATE('10/08/2020','dd/mm/yyyy'), 1.5, 2);</v>
      </c>
      <c r="P76" s="140"/>
      <c r="Q76" s="140"/>
      <c r="R76" s="140"/>
      <c r="S76" s="140"/>
      <c r="T76" s="140"/>
      <c r="U76" s="140"/>
      <c r="V76" s="140"/>
      <c r="W76" s="140"/>
      <c r="X76" s="140"/>
      <c r="Y76" s="140"/>
      <c r="Z76" s="140"/>
      <c r="AA76" s="140"/>
    </row>
    <row r="77" spans="1:27" x14ac:dyDescent="0.25">
      <c r="A77" s="7">
        <v>103</v>
      </c>
      <c r="B77" t="s">
        <v>180</v>
      </c>
      <c r="C77" t="s">
        <v>190</v>
      </c>
      <c r="E77" t="s">
        <v>238</v>
      </c>
      <c r="F77" s="1">
        <v>44053</v>
      </c>
      <c r="G77">
        <v>15</v>
      </c>
      <c r="H77" t="s">
        <v>192</v>
      </c>
      <c r="K77" s="7">
        <f t="shared" si="3"/>
        <v>76</v>
      </c>
      <c r="L77" s="7">
        <f>_xlfn.XLOOKUP(E77,Plantas!$V$2:$V$96,Plantas!$U$2:$U$96,0,0)</f>
        <v>82</v>
      </c>
      <c r="M77" s="7" cm="1">
        <f t="array" ref="M77">_xlfn.XLOOKUP(C77,_xlfn.ANCHORARRAY($B$213),$A$213:$A$220,0,0)</f>
        <v>2</v>
      </c>
      <c r="N77" s="7">
        <f>_xlfn.XLOOKUP(H77,Unidades!$C$3:$C$8,Unidades!$B$3:$B$8,0,0)</f>
        <v>2</v>
      </c>
      <c r="O77" s="140" t="str">
        <f t="shared" si="2"/>
        <v>INSERT INTO Operacao(OperacaoID, CulturaID, ParcelaID, TipoOperacaoID, DataRealizacao, Quantidade, UnidadeID) VALUES (76, 82, 103, 2,TO_DATE('10/08/2020','dd/mm/yyyy'), 15, 2);</v>
      </c>
      <c r="P77" s="140"/>
      <c r="Q77" s="140"/>
      <c r="R77" s="140"/>
      <c r="S77" s="140"/>
      <c r="T77" s="140"/>
      <c r="U77" s="140"/>
      <c r="V77" s="140"/>
      <c r="W77" s="140"/>
      <c r="X77" s="140"/>
      <c r="Y77" s="140"/>
      <c r="Z77" s="140"/>
      <c r="AA77" s="140"/>
    </row>
    <row r="78" spans="1:27" x14ac:dyDescent="0.25">
      <c r="A78" s="7">
        <v>107</v>
      </c>
      <c r="B78" t="s">
        <v>245</v>
      </c>
      <c r="C78" t="s">
        <v>190</v>
      </c>
      <c r="E78" t="s">
        <v>240</v>
      </c>
      <c r="F78" s="1">
        <v>44054</v>
      </c>
      <c r="G78">
        <v>7</v>
      </c>
      <c r="H78" t="s">
        <v>192</v>
      </c>
      <c r="K78" s="7">
        <f t="shared" si="3"/>
        <v>77</v>
      </c>
      <c r="L78" s="7">
        <f>_xlfn.XLOOKUP(E78,Plantas!$V$2:$V$96,Plantas!$U$2:$U$96,0,0)</f>
        <v>0</v>
      </c>
      <c r="M78" s="7" cm="1">
        <f t="array" ref="M78">_xlfn.XLOOKUP(C78,_xlfn.ANCHORARRAY($B$213),$A$213:$A$220,0,0)</f>
        <v>2</v>
      </c>
      <c r="N78" s="7">
        <f>_xlfn.XLOOKUP(H78,Unidades!$C$3:$C$8,Unidades!$B$3:$B$8,0,0)</f>
        <v>2</v>
      </c>
      <c r="O78" s="140" t="str">
        <f t="shared" si="2"/>
        <v>INSERT INTO Operacao(OperacaoID, CulturaID, ParcelaID, TipoOperacaoID, DataRealizacao, Quantidade, UnidadeID) VALUES (77, 0, 107, 2,TO_DATE('11/08/2020','dd/mm/yyyy'), 7, 2);</v>
      </c>
      <c r="P78" s="140"/>
      <c r="Q78" s="140"/>
      <c r="R78" s="140"/>
      <c r="S78" s="140"/>
      <c r="T78" s="140"/>
      <c r="U78" s="140"/>
      <c r="V78" s="140"/>
      <c r="W78" s="140"/>
      <c r="X78" s="140"/>
      <c r="Y78" s="140"/>
      <c r="Z78" s="140"/>
      <c r="AA78" s="140"/>
    </row>
    <row r="79" spans="1:27" x14ac:dyDescent="0.25">
      <c r="A79" s="7">
        <v>106</v>
      </c>
      <c r="B79" t="s">
        <v>219</v>
      </c>
      <c r="C79" t="s">
        <v>190</v>
      </c>
      <c r="E79" t="s">
        <v>221</v>
      </c>
      <c r="F79" s="1">
        <v>44055</v>
      </c>
      <c r="G79">
        <v>3.5</v>
      </c>
      <c r="H79" t="s">
        <v>192</v>
      </c>
      <c r="K79" s="7">
        <f t="shared" si="3"/>
        <v>78</v>
      </c>
      <c r="L79" s="7">
        <f>_xlfn.XLOOKUP(E79,Plantas!$V$2:$V$96,Plantas!$U$2:$U$96,0,0)</f>
        <v>78</v>
      </c>
      <c r="M79" s="7" cm="1">
        <f t="array" ref="M79">_xlfn.XLOOKUP(C79,_xlfn.ANCHORARRAY($B$213),$A$213:$A$220,0,0)</f>
        <v>2</v>
      </c>
      <c r="N79" s="7">
        <f>_xlfn.XLOOKUP(H79,Unidades!$C$3:$C$8,Unidades!$B$3:$B$8,0,0)</f>
        <v>2</v>
      </c>
      <c r="O79" s="140" t="str">
        <f t="shared" si="2"/>
        <v>INSERT INTO Operacao(OperacaoID, CulturaID, ParcelaID, TipoOperacaoID, DataRealizacao, Quantidade, UnidadeID) VALUES (78, 78, 106, 2,TO_DATE('12/08/2020','dd/mm/yyyy'), 3.5, 2);</v>
      </c>
      <c r="P79" s="140"/>
      <c r="Q79" s="140"/>
      <c r="R79" s="140"/>
      <c r="S79" s="140"/>
      <c r="T79" s="140"/>
      <c r="U79" s="140"/>
      <c r="V79" s="140"/>
      <c r="W79" s="140"/>
      <c r="X79" s="140"/>
      <c r="Y79" s="140"/>
      <c r="Z79" s="140"/>
      <c r="AA79" s="140"/>
    </row>
    <row r="80" spans="1:27" x14ac:dyDescent="0.25">
      <c r="A80" s="7">
        <v>103</v>
      </c>
      <c r="B80" t="s">
        <v>180</v>
      </c>
      <c r="C80" t="s">
        <v>7</v>
      </c>
      <c r="E80" t="s">
        <v>238</v>
      </c>
      <c r="F80" s="1">
        <v>44063</v>
      </c>
      <c r="G80">
        <v>3300</v>
      </c>
      <c r="H80" t="s">
        <v>217</v>
      </c>
      <c r="K80" s="7">
        <f t="shared" si="3"/>
        <v>79</v>
      </c>
      <c r="L80" s="7">
        <f>_xlfn.XLOOKUP(E80,Plantas!$V$2:$V$96,Plantas!$U$2:$U$96,0,0)</f>
        <v>82</v>
      </c>
      <c r="M80" s="7" cm="1">
        <f t="array" ref="M80">_xlfn.XLOOKUP(C80,_xlfn.ANCHORARRAY($B$213),$A$213:$A$220,0,0)</f>
        <v>7</v>
      </c>
      <c r="N80" s="7">
        <f>_xlfn.XLOOKUP(H80,Unidades!$C$3:$C$8,Unidades!$B$3:$B$8,0,0)</f>
        <v>3</v>
      </c>
      <c r="O80" s="140" t="str">
        <f t="shared" si="2"/>
        <v>INSERT INTO Operacao(OperacaoID, CulturaID, ParcelaID, TipoOperacaoID, DataRealizacao, Quantidade, UnidadeID) VALUES (79, 82, 103, 7,TO_DATE('20/08/2020','dd/mm/yyyy'), 3300, 3);</v>
      </c>
      <c r="P80" s="140"/>
      <c r="Q80" s="140"/>
      <c r="R80" s="140"/>
      <c r="S80" s="140"/>
      <c r="T80" s="140"/>
      <c r="U80" s="140"/>
      <c r="V80" s="140"/>
      <c r="W80" s="140"/>
      <c r="X80" s="140"/>
      <c r="Y80" s="140"/>
      <c r="Z80" s="140"/>
      <c r="AA80" s="140"/>
    </row>
    <row r="81" spans="1:27" x14ac:dyDescent="0.25">
      <c r="A81" s="7">
        <v>106</v>
      </c>
      <c r="B81" t="s">
        <v>219</v>
      </c>
      <c r="C81" t="s">
        <v>7</v>
      </c>
      <c r="E81" t="s">
        <v>221</v>
      </c>
      <c r="F81" s="1">
        <v>44071</v>
      </c>
      <c r="G81">
        <v>600</v>
      </c>
      <c r="H81" t="s">
        <v>217</v>
      </c>
      <c r="K81" s="7">
        <f t="shared" si="3"/>
        <v>80</v>
      </c>
      <c r="L81" s="7">
        <f>_xlfn.XLOOKUP(E81,Plantas!$V$2:$V$96,Plantas!$U$2:$U$96,0,0)</f>
        <v>78</v>
      </c>
      <c r="M81" s="7" cm="1">
        <f t="array" ref="M81">_xlfn.XLOOKUP(C81,_xlfn.ANCHORARRAY($B$213),$A$213:$A$220,0,0)</f>
        <v>7</v>
      </c>
      <c r="N81" s="7">
        <f>_xlfn.XLOOKUP(H81,Unidades!$C$3:$C$8,Unidades!$B$3:$B$8,0,0)</f>
        <v>3</v>
      </c>
      <c r="O81" s="140" t="str">
        <f t="shared" si="2"/>
        <v>INSERT INTO Operacao(OperacaoID, CulturaID, ParcelaID, TipoOperacaoID, DataRealizacao, Quantidade, UnidadeID) VALUES (80, 78, 106, 7,TO_DATE('28/08/2020','dd/mm/yyyy'), 600, 3);</v>
      </c>
      <c r="P81" s="140"/>
      <c r="Q81" s="140"/>
      <c r="R81" s="140"/>
      <c r="S81" s="140"/>
      <c r="T81" s="140"/>
      <c r="U81" s="140"/>
      <c r="V81" s="140"/>
      <c r="W81" s="140"/>
      <c r="X81" s="140"/>
      <c r="Y81" s="140"/>
      <c r="Z81" s="140"/>
      <c r="AA81" s="140"/>
    </row>
    <row r="82" spans="1:27" x14ac:dyDescent="0.25">
      <c r="A82" s="7">
        <v>106</v>
      </c>
      <c r="B82" t="s">
        <v>219</v>
      </c>
      <c r="C82" t="s">
        <v>7</v>
      </c>
      <c r="E82" t="s">
        <v>221</v>
      </c>
      <c r="F82" s="1">
        <v>44081</v>
      </c>
      <c r="G82">
        <v>1800</v>
      </c>
      <c r="H82" t="s">
        <v>217</v>
      </c>
      <c r="K82" s="7">
        <f t="shared" si="3"/>
        <v>81</v>
      </c>
      <c r="L82" s="7">
        <f>_xlfn.XLOOKUP(E82,Plantas!$V$2:$V$96,Plantas!$U$2:$U$96,0,0)</f>
        <v>78</v>
      </c>
      <c r="M82" s="7" cm="1">
        <f t="array" ref="M82">_xlfn.XLOOKUP(C82,_xlfn.ANCHORARRAY($B$213),$A$213:$A$220,0,0)</f>
        <v>7</v>
      </c>
      <c r="N82" s="7">
        <f>_xlfn.XLOOKUP(H82,Unidades!$C$3:$C$8,Unidades!$B$3:$B$8,0,0)</f>
        <v>3</v>
      </c>
      <c r="O82" s="140" t="str">
        <f t="shared" si="2"/>
        <v>INSERT INTO Operacao(OperacaoID, CulturaID, ParcelaID, TipoOperacaoID, DataRealizacao, Quantidade, UnidadeID) VALUES (81, 78, 106, 7,TO_DATE('07/09/2020','dd/mm/yyyy'), 1800, 3);</v>
      </c>
      <c r="P82" s="140"/>
      <c r="Q82" s="140"/>
      <c r="R82" s="140"/>
      <c r="S82" s="140"/>
      <c r="T82" s="140"/>
      <c r="U82" s="140"/>
      <c r="V82" s="140"/>
      <c r="W82" s="140"/>
      <c r="X82" s="140"/>
      <c r="Y82" s="140"/>
      <c r="Z82" s="140"/>
      <c r="AA82" s="140"/>
    </row>
    <row r="83" spans="1:27" x14ac:dyDescent="0.25">
      <c r="A83" s="7">
        <v>106</v>
      </c>
      <c r="B83" t="s">
        <v>219</v>
      </c>
      <c r="C83" t="s">
        <v>213</v>
      </c>
      <c r="E83" t="s">
        <v>226</v>
      </c>
      <c r="F83" s="1">
        <v>44094</v>
      </c>
      <c r="G83">
        <v>0.6</v>
      </c>
      <c r="H83" t="s">
        <v>217</v>
      </c>
      <c r="K83" s="7">
        <f t="shared" si="3"/>
        <v>82</v>
      </c>
      <c r="L83" s="7">
        <f>_xlfn.XLOOKUP(E83,Plantas!$V$2:$V$96,Plantas!$U$2:$U$96,0,0)</f>
        <v>93</v>
      </c>
      <c r="M83" s="7" cm="1">
        <f t="array" ref="M83">_xlfn.XLOOKUP(C83,_xlfn.ANCHORARRAY($B$213),$A$213:$A$220,0,0)</f>
        <v>6</v>
      </c>
      <c r="N83" s="7">
        <f>_xlfn.XLOOKUP(H83,Unidades!$C$3:$C$8,Unidades!$B$3:$B$8,0,0)</f>
        <v>3</v>
      </c>
      <c r="O83" s="140" t="str">
        <f t="shared" si="2"/>
        <v>INSERT INTO Operacao(OperacaoID, CulturaID, ParcelaID, TipoOperacaoID, DataRealizacao, Quantidade, UnidadeID) VALUES (82, 93, 106, 6,TO_DATE('20/09/2020','dd/mm/yyyy'), 0.6, 3);</v>
      </c>
      <c r="P83" s="140"/>
      <c r="Q83" s="140"/>
      <c r="R83" s="140"/>
      <c r="S83" s="140"/>
      <c r="T83" s="140"/>
      <c r="U83" s="140"/>
      <c r="V83" s="140"/>
      <c r="W83" s="140"/>
      <c r="X83" s="140"/>
      <c r="Y83" s="140"/>
      <c r="Z83" s="140"/>
      <c r="AA83" s="140"/>
    </row>
    <row r="84" spans="1:27" x14ac:dyDescent="0.25">
      <c r="A84" s="7">
        <v>101</v>
      </c>
      <c r="B84" t="s">
        <v>177</v>
      </c>
      <c r="C84" t="s">
        <v>213</v>
      </c>
      <c r="E84" t="s">
        <v>205</v>
      </c>
      <c r="F84" s="1">
        <v>44114</v>
      </c>
      <c r="G84">
        <v>36</v>
      </c>
      <c r="H84" t="s">
        <v>217</v>
      </c>
      <c r="K84" s="7">
        <f t="shared" si="3"/>
        <v>83</v>
      </c>
      <c r="L84" s="7">
        <f>_xlfn.XLOOKUP(E84,Plantas!$V$2:$V$96,Plantas!$U$2:$U$96,0,0)</f>
        <v>80</v>
      </c>
      <c r="M84" s="7" cm="1">
        <f t="array" ref="M84">_xlfn.XLOOKUP(C84,_xlfn.ANCHORARRAY($B$213),$A$213:$A$220,0,0)</f>
        <v>6</v>
      </c>
      <c r="N84" s="7">
        <f>_xlfn.XLOOKUP(H84,Unidades!$C$3:$C$8,Unidades!$B$3:$B$8,0,0)</f>
        <v>3</v>
      </c>
      <c r="O84" s="140" t="str">
        <f t="shared" si="2"/>
        <v>INSERT INTO Operacao(OperacaoID, CulturaID, ParcelaID, TipoOperacaoID, DataRealizacao, Quantidade, UnidadeID) VALUES (83, 80, 101, 6,TO_DATE('10/10/2020','dd/mm/yyyy'), 36, 3);</v>
      </c>
      <c r="P84" s="140"/>
      <c r="Q84" s="140"/>
      <c r="R84" s="140"/>
      <c r="S84" s="140"/>
      <c r="T84" s="140"/>
      <c r="U84" s="140"/>
      <c r="V84" s="140"/>
      <c r="W84" s="140"/>
      <c r="X84" s="140"/>
      <c r="Y84" s="140"/>
      <c r="Z84" s="140"/>
      <c r="AA84" s="140"/>
    </row>
    <row r="85" spans="1:27" x14ac:dyDescent="0.25">
      <c r="A85" s="7">
        <v>103</v>
      </c>
      <c r="B85" t="s">
        <v>180</v>
      </c>
      <c r="C85" t="s">
        <v>213</v>
      </c>
      <c r="E85" t="s">
        <v>205</v>
      </c>
      <c r="F85" s="1">
        <v>44116</v>
      </c>
      <c r="G85">
        <v>1.3</v>
      </c>
      <c r="H85" t="s">
        <v>178</v>
      </c>
      <c r="K85" s="7">
        <f t="shared" si="3"/>
        <v>84</v>
      </c>
      <c r="L85" s="7">
        <f>_xlfn.XLOOKUP(E85,Plantas!$V$2:$V$96,Plantas!$U$2:$U$96,0,0)</f>
        <v>80</v>
      </c>
      <c r="M85" s="7" cm="1">
        <f t="array" ref="M85">_xlfn.XLOOKUP(C85,_xlfn.ANCHORARRAY($B$213),$A$213:$A$220,0,0)</f>
        <v>6</v>
      </c>
      <c r="N85" s="7">
        <f>_xlfn.XLOOKUP(H85,Unidades!$C$3:$C$8,Unidades!$B$3:$B$8,0,0)</f>
        <v>4</v>
      </c>
      <c r="O85" s="140" t="str">
        <f t="shared" si="2"/>
        <v>INSERT INTO Operacao(OperacaoID, CulturaID, ParcelaID, TipoOperacaoID, DataRealizacao, Quantidade, UnidadeID) VALUES (84, 80, 103, 6,TO_DATE('12/10/2020','dd/mm/yyyy'), 1.3, 4);</v>
      </c>
      <c r="P85" s="140"/>
      <c r="Q85" s="140"/>
      <c r="R85" s="140"/>
      <c r="S85" s="140"/>
      <c r="T85" s="140"/>
      <c r="U85" s="140"/>
      <c r="V85" s="140"/>
      <c r="W85" s="140"/>
      <c r="X85" s="140"/>
      <c r="Y85" s="140"/>
      <c r="Z85" s="140"/>
      <c r="AA85" s="140"/>
    </row>
    <row r="86" spans="1:27" x14ac:dyDescent="0.25">
      <c r="A86" s="7">
        <v>102</v>
      </c>
      <c r="B86" t="s">
        <v>198</v>
      </c>
      <c r="C86" t="s">
        <v>5</v>
      </c>
      <c r="E86" t="s">
        <v>199</v>
      </c>
      <c r="F86" s="1">
        <v>44145</v>
      </c>
      <c r="G86">
        <v>30</v>
      </c>
      <c r="H86" t="s">
        <v>200</v>
      </c>
      <c r="K86" s="7">
        <f t="shared" si="3"/>
        <v>85</v>
      </c>
      <c r="L86" s="7">
        <f>_xlfn.XLOOKUP(E86,Plantas!$V$2:$V$96,Plantas!$U$2:$U$96,0,0)</f>
        <v>92</v>
      </c>
      <c r="M86" s="7" cm="1">
        <f t="array" ref="M86">_xlfn.XLOOKUP(C86,_xlfn.ANCHORARRAY($B$213),$A$213:$A$220,0,0)</f>
        <v>3</v>
      </c>
      <c r="N86" s="7">
        <f>_xlfn.XLOOKUP(H86,Unidades!$C$3:$C$8,Unidades!$B$3:$B$8,0,0)</f>
        <v>1</v>
      </c>
      <c r="O86" s="140" t="str">
        <f t="shared" si="2"/>
        <v>INSERT INTO Operacao(OperacaoID, CulturaID, ParcelaID, TipoOperacaoID, DataRealizacao, Quantidade, UnidadeID) VALUES (85, 92, 102, 3,TO_DATE('10/11/2020','dd/mm/yyyy'), 30, 1);</v>
      </c>
      <c r="P86" s="140"/>
      <c r="Q86" s="140"/>
      <c r="R86" s="140"/>
      <c r="S86" s="140"/>
      <c r="T86" s="140"/>
      <c r="U86" s="140"/>
      <c r="V86" s="140"/>
      <c r="W86" s="140"/>
      <c r="X86" s="140"/>
      <c r="Y86" s="140"/>
      <c r="Z86" s="140"/>
      <c r="AA86" s="140"/>
    </row>
    <row r="87" spans="1:27" x14ac:dyDescent="0.25">
      <c r="A87" s="7">
        <v>102</v>
      </c>
      <c r="B87" t="s">
        <v>198</v>
      </c>
      <c r="C87" t="s">
        <v>5</v>
      </c>
      <c r="E87" t="s">
        <v>201</v>
      </c>
      <c r="F87" s="1">
        <v>44145</v>
      </c>
      <c r="G87">
        <v>20</v>
      </c>
      <c r="H87" t="s">
        <v>200</v>
      </c>
      <c r="K87" s="7">
        <f t="shared" si="3"/>
        <v>86</v>
      </c>
      <c r="L87" s="7">
        <f>_xlfn.XLOOKUP(E87,Plantas!$V$2:$V$96,Plantas!$U$2:$U$96,0,0)</f>
        <v>89</v>
      </c>
      <c r="M87" s="7" cm="1">
        <f t="array" ref="M87">_xlfn.XLOOKUP(C87,_xlfn.ANCHORARRAY($B$213),$A$213:$A$220,0,0)</f>
        <v>3</v>
      </c>
      <c r="N87" s="7">
        <f>_xlfn.XLOOKUP(H87,Unidades!$C$3:$C$8,Unidades!$B$3:$B$8,0,0)</f>
        <v>1</v>
      </c>
      <c r="O87" s="140" t="str">
        <f t="shared" si="2"/>
        <v>INSERT INTO Operacao(OperacaoID, CulturaID, ParcelaID, TipoOperacaoID, DataRealizacao, Quantidade, UnidadeID) VALUES (86, 89, 102, 3,TO_DATE('10/11/2020','dd/mm/yyyy'), 20, 1);</v>
      </c>
      <c r="P87" s="140"/>
      <c r="Q87" s="140"/>
      <c r="R87" s="140"/>
      <c r="S87" s="140"/>
      <c r="T87" s="140"/>
      <c r="U87" s="140"/>
      <c r="V87" s="140"/>
      <c r="W87" s="140"/>
      <c r="X87" s="140"/>
      <c r="Y87" s="140"/>
      <c r="Z87" s="140"/>
      <c r="AA87" s="140"/>
    </row>
    <row r="88" spans="1:27" x14ac:dyDescent="0.25">
      <c r="A88" s="7">
        <v>106</v>
      </c>
      <c r="B88" t="s">
        <v>219</v>
      </c>
      <c r="C88" t="s">
        <v>7</v>
      </c>
      <c r="E88" t="s">
        <v>226</v>
      </c>
      <c r="F88" s="1">
        <v>44150</v>
      </c>
      <c r="G88">
        <v>600</v>
      </c>
      <c r="H88" t="s">
        <v>217</v>
      </c>
      <c r="K88" s="7">
        <f t="shared" si="3"/>
        <v>87</v>
      </c>
      <c r="L88" s="7">
        <f>_xlfn.XLOOKUP(E88,Plantas!$V$2:$V$96,Plantas!$U$2:$U$96,0,0)</f>
        <v>93</v>
      </c>
      <c r="M88" s="7" cm="1">
        <f t="array" ref="M88">_xlfn.XLOOKUP(C88,_xlfn.ANCHORARRAY($B$213),$A$213:$A$220,0,0)</f>
        <v>7</v>
      </c>
      <c r="N88" s="7">
        <f>_xlfn.XLOOKUP(H88,Unidades!$C$3:$C$8,Unidades!$B$3:$B$8,0,0)</f>
        <v>3</v>
      </c>
      <c r="O88" s="140" t="str">
        <f t="shared" si="2"/>
        <v>INSERT INTO Operacao(OperacaoID, CulturaID, ParcelaID, TipoOperacaoID, DataRealizacao, Quantidade, UnidadeID) VALUES (87, 93, 106, 7,TO_DATE('15/11/2020','dd/mm/yyyy'), 600, 3);</v>
      </c>
      <c r="P88" s="140"/>
      <c r="Q88" s="140"/>
      <c r="R88" s="140"/>
      <c r="S88" s="140"/>
      <c r="T88" s="140"/>
      <c r="U88" s="140"/>
      <c r="V88" s="140"/>
      <c r="W88" s="140"/>
      <c r="X88" s="140"/>
      <c r="Y88" s="140"/>
      <c r="Z88" s="140"/>
      <c r="AA88" s="140"/>
    </row>
    <row r="89" spans="1:27" x14ac:dyDescent="0.25">
      <c r="A89" s="7">
        <v>104</v>
      </c>
      <c r="B89" t="s">
        <v>181</v>
      </c>
      <c r="C89" t="s">
        <v>5</v>
      </c>
      <c r="E89" t="s">
        <v>204</v>
      </c>
      <c r="F89" s="1">
        <v>44170</v>
      </c>
      <c r="G89">
        <v>70</v>
      </c>
      <c r="H89" t="s">
        <v>200</v>
      </c>
      <c r="K89" s="7">
        <f t="shared" si="3"/>
        <v>88</v>
      </c>
      <c r="L89" s="7">
        <f>_xlfn.XLOOKUP(E89,Plantas!$V$2:$V$96,Plantas!$U$2:$U$96,0,0)</f>
        <v>48</v>
      </c>
      <c r="M89" s="7" cm="1">
        <f t="array" ref="M89">_xlfn.XLOOKUP(C89,_xlfn.ANCHORARRAY($B$213),$A$213:$A$220,0,0)</f>
        <v>3</v>
      </c>
      <c r="N89" s="7">
        <f>_xlfn.XLOOKUP(H89,Unidades!$C$3:$C$8,Unidades!$B$3:$B$8,0,0)</f>
        <v>1</v>
      </c>
      <c r="O89" s="140" t="str">
        <f t="shared" si="2"/>
        <v>INSERT INTO Operacao(OperacaoID, CulturaID, ParcelaID, TipoOperacaoID, DataRealizacao, Quantidade, UnidadeID) VALUES (88, 48, 104, 3,TO_DATE('05/12/2020','dd/mm/yyyy'), 70, 1);</v>
      </c>
      <c r="P89" s="140"/>
      <c r="Q89" s="140"/>
      <c r="R89" s="140"/>
      <c r="S89" s="140"/>
      <c r="T89" s="140"/>
      <c r="U89" s="140"/>
      <c r="V89" s="140"/>
      <c r="W89" s="140"/>
      <c r="X89" s="140"/>
      <c r="Y89" s="140"/>
      <c r="Z89" s="140"/>
      <c r="AA89" s="140"/>
    </row>
    <row r="90" spans="1:27" x14ac:dyDescent="0.25">
      <c r="A90" s="7">
        <v>104</v>
      </c>
      <c r="B90" t="s">
        <v>181</v>
      </c>
      <c r="C90" t="s">
        <v>5</v>
      </c>
      <c r="E90" t="s">
        <v>202</v>
      </c>
      <c r="F90" s="1">
        <v>44170</v>
      </c>
      <c r="G90">
        <v>50</v>
      </c>
      <c r="H90" t="s">
        <v>200</v>
      </c>
      <c r="K90" s="7">
        <f t="shared" si="3"/>
        <v>89</v>
      </c>
      <c r="L90" s="7">
        <f>_xlfn.XLOOKUP(E90,Plantas!$V$2:$V$96,Plantas!$U$2:$U$96,0,0)</f>
        <v>41</v>
      </c>
      <c r="M90" s="7" cm="1">
        <f t="array" ref="M90">_xlfn.XLOOKUP(C90,_xlfn.ANCHORARRAY($B$213),$A$213:$A$220,0,0)</f>
        <v>3</v>
      </c>
      <c r="N90" s="7">
        <f>_xlfn.XLOOKUP(H90,Unidades!$C$3:$C$8,Unidades!$B$3:$B$8,0,0)</f>
        <v>1</v>
      </c>
      <c r="O90" s="140" t="str">
        <f t="shared" si="2"/>
        <v>INSERT INTO Operacao(OperacaoID, CulturaID, ParcelaID, TipoOperacaoID, DataRealizacao, Quantidade, UnidadeID) VALUES (89, 41, 104, 3,TO_DATE('05/12/2020','dd/mm/yyyy'), 50, 1);</v>
      </c>
      <c r="P90" s="140"/>
      <c r="Q90" s="140"/>
      <c r="R90" s="140"/>
      <c r="S90" s="140"/>
      <c r="T90" s="140"/>
      <c r="U90" s="140"/>
      <c r="V90" s="140"/>
      <c r="W90" s="140"/>
      <c r="X90" s="140"/>
      <c r="Y90" s="140"/>
      <c r="Z90" s="140"/>
      <c r="AA90" s="140"/>
    </row>
    <row r="91" spans="1:27" x14ac:dyDescent="0.25">
      <c r="A91" s="7">
        <v>102</v>
      </c>
      <c r="B91" t="s">
        <v>198</v>
      </c>
      <c r="C91" t="s">
        <v>215</v>
      </c>
      <c r="D91" t="s">
        <v>227</v>
      </c>
      <c r="E91" t="s">
        <v>199</v>
      </c>
      <c r="F91" s="1">
        <v>44175</v>
      </c>
      <c r="G91">
        <v>10</v>
      </c>
      <c r="H91" t="s">
        <v>217</v>
      </c>
      <c r="I91" t="s">
        <v>151</v>
      </c>
      <c r="K91" s="7">
        <f t="shared" si="3"/>
        <v>90</v>
      </c>
      <c r="L91" s="7">
        <f>_xlfn.XLOOKUP(E91,Plantas!$V$2:$V$96,Plantas!$U$2:$U$96,0,0)</f>
        <v>92</v>
      </c>
      <c r="M91" s="7" cm="1">
        <f t="array" ref="M91">_xlfn.XLOOKUP(C91,_xlfn.ANCHORARRAY($B$213),$A$213:$A$220,0,0)</f>
        <v>4</v>
      </c>
      <c r="N91" s="7">
        <f>_xlfn.XLOOKUP(H91,Unidades!$C$3:$C$8,Unidades!$B$3:$B$8,0,0)</f>
        <v>3</v>
      </c>
      <c r="O91" s="140" t="str">
        <f t="shared" si="2"/>
        <v>INSERT INTO Operacao(OperacaoID, CulturaID, ParcelaID, TipoOperacaoID, DataRealizacao, Quantidade, UnidadeID) VALUES (90, 92, 102, 4,TO_DATE('10/12/2020','dd/mm/yyyy'), 10, 3);</v>
      </c>
      <c r="P91" s="140"/>
      <c r="Q91" s="140"/>
      <c r="R91" s="140"/>
      <c r="S91" s="140"/>
      <c r="T91" s="140"/>
      <c r="U91" s="140"/>
      <c r="V91" s="140"/>
      <c r="W91" s="140"/>
      <c r="X91" s="140"/>
      <c r="Y91" s="140"/>
      <c r="Z91" s="140"/>
      <c r="AA91" s="140"/>
    </row>
    <row r="92" spans="1:27" x14ac:dyDescent="0.25">
      <c r="A92" s="7">
        <v>102</v>
      </c>
      <c r="B92" t="s">
        <v>198</v>
      </c>
      <c r="C92" t="s">
        <v>215</v>
      </c>
      <c r="D92" t="s">
        <v>227</v>
      </c>
      <c r="E92" t="s">
        <v>201</v>
      </c>
      <c r="F92" s="1">
        <v>44175</v>
      </c>
      <c r="G92">
        <v>7</v>
      </c>
      <c r="H92" t="s">
        <v>217</v>
      </c>
      <c r="I92" t="s">
        <v>151</v>
      </c>
      <c r="K92" s="7">
        <f t="shared" si="3"/>
        <v>91</v>
      </c>
      <c r="L92" s="7">
        <f>_xlfn.XLOOKUP(E92,Plantas!$V$2:$V$96,Plantas!$U$2:$U$96,0,0)</f>
        <v>89</v>
      </c>
      <c r="M92" s="7" cm="1">
        <f t="array" ref="M92">_xlfn.XLOOKUP(C92,_xlfn.ANCHORARRAY($B$213),$A$213:$A$220,0,0)</f>
        <v>4</v>
      </c>
      <c r="N92" s="7">
        <f>_xlfn.XLOOKUP(H92,Unidades!$C$3:$C$8,Unidades!$B$3:$B$8,0,0)</f>
        <v>3</v>
      </c>
      <c r="O92" s="140" t="str">
        <f t="shared" si="2"/>
        <v>INSERT INTO Operacao(OperacaoID, CulturaID, ParcelaID, TipoOperacaoID, DataRealizacao, Quantidade, UnidadeID) VALUES (91, 89, 102, 4,TO_DATE('10/12/2020','dd/mm/yyyy'), 7, 3);</v>
      </c>
      <c r="P92" s="140"/>
      <c r="Q92" s="140"/>
      <c r="R92" s="140"/>
      <c r="S92" s="140"/>
      <c r="T92" s="140"/>
      <c r="U92" s="140"/>
      <c r="V92" s="140"/>
      <c r="W92" s="140"/>
      <c r="X92" s="140"/>
      <c r="Y92" s="140"/>
      <c r="Z92" s="140"/>
      <c r="AA92" s="140"/>
    </row>
    <row r="93" spans="1:27" x14ac:dyDescent="0.25">
      <c r="A93" s="7">
        <v>104</v>
      </c>
      <c r="B93" t="s">
        <v>181</v>
      </c>
      <c r="C93" t="s">
        <v>5</v>
      </c>
      <c r="E93" t="s">
        <v>202</v>
      </c>
      <c r="F93" s="1">
        <v>44180</v>
      </c>
      <c r="G93">
        <v>40</v>
      </c>
      <c r="H93" t="s">
        <v>200</v>
      </c>
      <c r="K93" s="7">
        <f t="shared" si="3"/>
        <v>92</v>
      </c>
      <c r="L93" s="7">
        <f>_xlfn.XLOOKUP(E93,Plantas!$V$2:$V$96,Plantas!$U$2:$U$96,0,0)</f>
        <v>41</v>
      </c>
      <c r="M93" s="7" cm="1">
        <f t="array" ref="M93">_xlfn.XLOOKUP(C93,_xlfn.ANCHORARRAY($B$213),$A$213:$A$220,0,0)</f>
        <v>3</v>
      </c>
      <c r="N93" s="7">
        <f>_xlfn.XLOOKUP(H93,Unidades!$C$3:$C$8,Unidades!$B$3:$B$8,0,0)</f>
        <v>1</v>
      </c>
      <c r="O93" s="140" t="str">
        <f t="shared" si="2"/>
        <v>INSERT INTO Operacao(OperacaoID, CulturaID, ParcelaID, TipoOperacaoID, DataRealizacao, Quantidade, UnidadeID) VALUES (92, 41, 104, 3,TO_DATE('15/12/2020','dd/mm/yyyy'), 40, 1);</v>
      </c>
      <c r="P93" s="140"/>
      <c r="Q93" s="140"/>
      <c r="R93" s="140"/>
      <c r="S93" s="140"/>
      <c r="T93" s="140"/>
      <c r="U93" s="140"/>
      <c r="V93" s="140"/>
      <c r="W93" s="140"/>
      <c r="X93" s="140"/>
      <c r="Y93" s="140"/>
      <c r="Z93" s="140"/>
      <c r="AA93" s="140"/>
    </row>
    <row r="94" spans="1:27" x14ac:dyDescent="0.25">
      <c r="A94" s="7">
        <v>104</v>
      </c>
      <c r="B94" t="s">
        <v>181</v>
      </c>
      <c r="C94" t="s">
        <v>5</v>
      </c>
      <c r="E94" t="s">
        <v>203</v>
      </c>
      <c r="F94" s="1">
        <v>44180</v>
      </c>
      <c r="G94">
        <v>60</v>
      </c>
      <c r="H94" t="s">
        <v>200</v>
      </c>
      <c r="K94" s="7">
        <f t="shared" si="3"/>
        <v>93</v>
      </c>
      <c r="L94" s="7">
        <f>_xlfn.XLOOKUP(E94,Plantas!$V$2:$V$96,Plantas!$U$2:$U$96,0,0)</f>
        <v>37</v>
      </c>
      <c r="M94" s="7" cm="1">
        <f t="array" ref="M94">_xlfn.XLOOKUP(C94,_xlfn.ANCHORARRAY($B$213),$A$213:$A$220,0,0)</f>
        <v>3</v>
      </c>
      <c r="N94" s="7">
        <f>_xlfn.XLOOKUP(H94,Unidades!$C$3:$C$8,Unidades!$B$3:$B$8,0,0)</f>
        <v>1</v>
      </c>
      <c r="O94" s="140" t="str">
        <f t="shared" si="2"/>
        <v>INSERT INTO Operacao(OperacaoID, CulturaID, ParcelaID, TipoOperacaoID, DataRealizacao, Quantidade, UnidadeID) VALUES (93, 37, 104, 3,TO_DATE('15/12/2020','dd/mm/yyyy'), 60, 1);</v>
      </c>
      <c r="P94" s="140"/>
      <c r="Q94" s="140"/>
      <c r="R94" s="140"/>
      <c r="S94" s="140"/>
      <c r="T94" s="140"/>
      <c r="U94" s="140"/>
      <c r="V94" s="140"/>
      <c r="W94" s="140"/>
      <c r="X94" s="140"/>
      <c r="Y94" s="140"/>
      <c r="Z94" s="140"/>
      <c r="AA94" s="140"/>
    </row>
    <row r="95" spans="1:27" x14ac:dyDescent="0.25">
      <c r="A95" s="7">
        <v>107</v>
      </c>
      <c r="B95" t="s">
        <v>245</v>
      </c>
      <c r="C95" t="s">
        <v>5</v>
      </c>
      <c r="E95" t="s">
        <v>246</v>
      </c>
      <c r="F95" s="1">
        <v>44181</v>
      </c>
      <c r="G95">
        <v>500</v>
      </c>
      <c r="H95" t="s">
        <v>200</v>
      </c>
      <c r="K95" s="7">
        <f t="shared" si="3"/>
        <v>94</v>
      </c>
      <c r="L95" s="7">
        <f>_xlfn.XLOOKUP(E95,Plantas!$V$2:$V$96,Plantas!$U$2:$U$96,0,0)</f>
        <v>94</v>
      </c>
      <c r="M95" s="7" cm="1">
        <f t="array" ref="M95">_xlfn.XLOOKUP(C95,_xlfn.ANCHORARRAY($B$213),$A$213:$A$220,0,0)</f>
        <v>3</v>
      </c>
      <c r="N95" s="7">
        <f>_xlfn.XLOOKUP(H95,Unidades!$C$3:$C$8,Unidades!$B$3:$B$8,0,0)</f>
        <v>1</v>
      </c>
      <c r="O95" s="140" t="str">
        <f t="shared" si="2"/>
        <v>INSERT INTO Operacao(OperacaoID, CulturaID, ParcelaID, TipoOperacaoID, DataRealizacao, Quantidade, UnidadeID) VALUES (94, 94, 107, 3,TO_DATE('16/12/2020','dd/mm/yyyy'), 500, 1);</v>
      </c>
      <c r="P95" s="140"/>
      <c r="Q95" s="140"/>
      <c r="R95" s="140"/>
      <c r="S95" s="140"/>
      <c r="T95" s="140"/>
      <c r="U95" s="140"/>
      <c r="V95" s="140"/>
      <c r="W95" s="140"/>
      <c r="X95" s="140"/>
      <c r="Y95" s="140"/>
      <c r="Z95" s="140"/>
      <c r="AA95" s="140"/>
    </row>
    <row r="96" spans="1:27" x14ac:dyDescent="0.25">
      <c r="A96" s="7">
        <v>106</v>
      </c>
      <c r="B96" t="s">
        <v>219</v>
      </c>
      <c r="C96" t="s">
        <v>7</v>
      </c>
      <c r="E96" t="s">
        <v>226</v>
      </c>
      <c r="F96" s="1">
        <v>44183</v>
      </c>
      <c r="G96">
        <v>2500</v>
      </c>
      <c r="H96" t="s">
        <v>217</v>
      </c>
      <c r="K96" s="7">
        <f t="shared" si="3"/>
        <v>95</v>
      </c>
      <c r="L96" s="7">
        <f>_xlfn.XLOOKUP(E96,Plantas!$V$2:$V$96,Plantas!$U$2:$U$96,0,0)</f>
        <v>93</v>
      </c>
      <c r="M96" s="7" cm="1">
        <f t="array" ref="M96">_xlfn.XLOOKUP(C96,_xlfn.ANCHORARRAY($B$213),$A$213:$A$220,0,0)</f>
        <v>7</v>
      </c>
      <c r="N96" s="7">
        <f>_xlfn.XLOOKUP(H96,Unidades!$C$3:$C$8,Unidades!$B$3:$B$8,0,0)</f>
        <v>3</v>
      </c>
      <c r="O96" s="140" t="str">
        <f t="shared" si="2"/>
        <v>INSERT INTO Operacao(OperacaoID, CulturaID, ParcelaID, TipoOperacaoID, DataRealizacao, Quantidade, UnidadeID) VALUES (95, 93, 106, 7,TO_DATE('18/12/2020','dd/mm/yyyy'), 2500, 3);</v>
      </c>
      <c r="P96" s="140"/>
      <c r="Q96" s="140"/>
      <c r="R96" s="140"/>
      <c r="S96" s="140"/>
      <c r="T96" s="140"/>
      <c r="U96" s="140"/>
      <c r="V96" s="140"/>
      <c r="W96" s="140"/>
      <c r="X96" s="140"/>
      <c r="Y96" s="140"/>
      <c r="Z96" s="140"/>
      <c r="AA96" s="140"/>
    </row>
    <row r="97" spans="1:27" x14ac:dyDescent="0.25">
      <c r="A97" s="7">
        <v>107</v>
      </c>
      <c r="B97" t="s">
        <v>245</v>
      </c>
      <c r="C97" t="s">
        <v>5</v>
      </c>
      <c r="E97" t="s">
        <v>250</v>
      </c>
      <c r="F97" s="1">
        <v>44183</v>
      </c>
      <c r="G97">
        <v>700</v>
      </c>
      <c r="H97" t="s">
        <v>200</v>
      </c>
      <c r="K97" s="7">
        <f t="shared" si="3"/>
        <v>96</v>
      </c>
      <c r="L97" s="7">
        <f>_xlfn.XLOOKUP(E97,Plantas!$V$2:$V$96,Plantas!$U$2:$U$96,0,0)</f>
        <v>95</v>
      </c>
      <c r="M97" s="7" cm="1">
        <f t="array" ref="M97">_xlfn.XLOOKUP(C97,_xlfn.ANCHORARRAY($B$213),$A$213:$A$220,0,0)</f>
        <v>3</v>
      </c>
      <c r="N97" s="7">
        <f>_xlfn.XLOOKUP(H97,Unidades!$C$3:$C$8,Unidades!$B$3:$B$8,0,0)</f>
        <v>1</v>
      </c>
      <c r="O97" s="140" t="str">
        <f t="shared" si="2"/>
        <v>INSERT INTO Operacao(OperacaoID, CulturaID, ParcelaID, TipoOperacaoID, DataRealizacao, Quantidade, UnidadeID) VALUES (96, 95, 107, 3,TO_DATE('18/12/2020','dd/mm/yyyy'), 700, 1);</v>
      </c>
      <c r="P97" s="140"/>
      <c r="Q97" s="140"/>
      <c r="R97" s="140"/>
      <c r="S97" s="140"/>
      <c r="T97" s="140"/>
      <c r="U97" s="140"/>
      <c r="V97" s="140"/>
      <c r="W97" s="140"/>
      <c r="X97" s="140"/>
      <c r="Y97" s="140"/>
      <c r="Z97" s="140"/>
      <c r="AA97" s="140"/>
    </row>
    <row r="98" spans="1:27" x14ac:dyDescent="0.25">
      <c r="A98" s="7">
        <v>106</v>
      </c>
      <c r="B98" t="s">
        <v>219</v>
      </c>
      <c r="C98" t="s">
        <v>7</v>
      </c>
      <c r="E98" t="s">
        <v>226</v>
      </c>
      <c r="F98" s="1">
        <v>44200</v>
      </c>
      <c r="G98">
        <v>2900</v>
      </c>
      <c r="H98" t="s">
        <v>217</v>
      </c>
      <c r="K98" s="7">
        <f t="shared" si="3"/>
        <v>97</v>
      </c>
      <c r="L98" s="7">
        <f>_xlfn.XLOOKUP(E98,Plantas!$V$2:$V$96,Plantas!$U$2:$U$96,0,0)</f>
        <v>93</v>
      </c>
      <c r="M98" s="7" cm="1">
        <f t="array" ref="M98">_xlfn.XLOOKUP(C98,_xlfn.ANCHORARRAY($B$213),$A$213:$A$220,0,0)</f>
        <v>7</v>
      </c>
      <c r="N98" s="7">
        <f>_xlfn.XLOOKUP(H98,Unidades!$C$3:$C$8,Unidades!$B$3:$B$8,0,0)</f>
        <v>3</v>
      </c>
      <c r="O98" s="140" t="str">
        <f t="shared" si="2"/>
        <v>INSERT INTO Operacao(OperacaoID, CulturaID, ParcelaID, TipoOperacaoID, DataRealizacao, Quantidade, UnidadeID) VALUES (97, 93, 106, 7,TO_DATE('04/01/2021','dd/mm/yyyy'), 2900, 3);</v>
      </c>
      <c r="P98" s="140"/>
      <c r="Q98" s="140"/>
      <c r="R98" s="140"/>
      <c r="S98" s="140"/>
      <c r="T98" s="140"/>
      <c r="U98" s="140"/>
      <c r="V98" s="140"/>
      <c r="W98" s="140"/>
      <c r="X98" s="140"/>
      <c r="Y98" s="140"/>
      <c r="Z98" s="140"/>
      <c r="AA98" s="140"/>
    </row>
    <row r="99" spans="1:27" x14ac:dyDescent="0.25">
      <c r="A99" s="7">
        <v>107</v>
      </c>
      <c r="B99" t="s">
        <v>245</v>
      </c>
      <c r="C99" t="s">
        <v>251</v>
      </c>
      <c r="E99" t="s">
        <v>246</v>
      </c>
      <c r="F99" s="1">
        <v>44216</v>
      </c>
      <c r="G99">
        <v>2</v>
      </c>
      <c r="H99" t="s">
        <v>217</v>
      </c>
      <c r="I99" t="s">
        <v>142</v>
      </c>
      <c r="K99" s="7">
        <f t="shared" si="3"/>
        <v>98</v>
      </c>
      <c r="L99" s="7">
        <f>_xlfn.XLOOKUP(E99,Plantas!$V$2:$V$96,Plantas!$U$2:$U$96,0,0)</f>
        <v>94</v>
      </c>
      <c r="M99" s="7" cm="1">
        <f t="array" ref="M99">_xlfn.XLOOKUP(C99,_xlfn.ANCHORARRAY($B$213),$A$213:$A$220,0,0)</f>
        <v>5</v>
      </c>
      <c r="N99" s="7">
        <f>_xlfn.XLOOKUP(H99,Unidades!$C$3:$C$8,Unidades!$B$3:$B$8,0,0)</f>
        <v>3</v>
      </c>
      <c r="O99" s="140" t="str">
        <f t="shared" si="2"/>
        <v>INSERT INTO Operacao(OperacaoID, CulturaID, ParcelaID, TipoOperacaoID, DataRealizacao, Quantidade, UnidadeID) VALUES (98, 94, 107, 5,TO_DATE('20/01/2021','dd/mm/yyyy'), 2, 3);</v>
      </c>
      <c r="P99" s="140"/>
      <c r="Q99" s="140"/>
      <c r="R99" s="140"/>
      <c r="S99" s="140"/>
      <c r="T99" s="140"/>
      <c r="U99" s="140"/>
      <c r="V99" s="140"/>
      <c r="W99" s="140"/>
      <c r="X99" s="140"/>
      <c r="Y99" s="140"/>
      <c r="Z99" s="140"/>
      <c r="AA99" s="140"/>
    </row>
    <row r="100" spans="1:27" x14ac:dyDescent="0.25">
      <c r="A100" s="7">
        <v>107</v>
      </c>
      <c r="B100" t="s">
        <v>245</v>
      </c>
      <c r="C100" t="s">
        <v>251</v>
      </c>
      <c r="E100" t="s">
        <v>250</v>
      </c>
      <c r="F100" s="1">
        <v>44216</v>
      </c>
      <c r="G100">
        <v>2.5</v>
      </c>
      <c r="H100" t="s">
        <v>217</v>
      </c>
      <c r="I100" t="s">
        <v>142</v>
      </c>
      <c r="K100" s="7">
        <f t="shared" si="3"/>
        <v>99</v>
      </c>
      <c r="L100" s="7">
        <f>_xlfn.XLOOKUP(E100,Plantas!$V$2:$V$96,Plantas!$U$2:$U$96,0,0)</f>
        <v>95</v>
      </c>
      <c r="M100" s="7" cm="1">
        <f t="array" ref="M100">_xlfn.XLOOKUP(C100,_xlfn.ANCHORARRAY($B$213),$A$213:$A$220,0,0)</f>
        <v>5</v>
      </c>
      <c r="N100" s="7">
        <f>_xlfn.XLOOKUP(H100,Unidades!$C$3:$C$8,Unidades!$B$3:$B$8,0,0)</f>
        <v>3</v>
      </c>
      <c r="O100" s="140" t="str">
        <f t="shared" si="2"/>
        <v>INSERT INTO Operacao(OperacaoID, CulturaID, ParcelaID, TipoOperacaoID, DataRealizacao, Quantidade, UnidadeID) VALUES (99, 95, 107, 5,TO_DATE('20/01/2021','dd/mm/yyyy'), 2.5, 3);</v>
      </c>
      <c r="P100" s="140"/>
      <c r="Q100" s="140"/>
      <c r="R100" s="140"/>
      <c r="S100" s="140"/>
      <c r="T100" s="140"/>
      <c r="U100" s="140"/>
      <c r="V100" s="140"/>
      <c r="W100" s="140"/>
      <c r="X100" s="140"/>
      <c r="Y100" s="140"/>
      <c r="Z100" s="140"/>
      <c r="AA100" s="140"/>
    </row>
    <row r="101" spans="1:27" x14ac:dyDescent="0.25">
      <c r="A101" s="7">
        <v>106</v>
      </c>
      <c r="B101" t="s">
        <v>219</v>
      </c>
      <c r="C101" t="s">
        <v>213</v>
      </c>
      <c r="E101" t="s">
        <v>252</v>
      </c>
      <c r="F101" s="1">
        <v>44265</v>
      </c>
      <c r="G101">
        <v>0.9</v>
      </c>
      <c r="H101" t="s">
        <v>217</v>
      </c>
      <c r="K101" s="7">
        <f t="shared" si="3"/>
        <v>100</v>
      </c>
      <c r="L101" s="7">
        <f>_xlfn.XLOOKUP(E101,Plantas!$V$2:$V$96,Plantas!$U$2:$U$96,0,0)</f>
        <v>77</v>
      </c>
      <c r="M101" s="7" cm="1">
        <f t="array" ref="M101">_xlfn.XLOOKUP(C101,_xlfn.ANCHORARRAY($B$213),$A$213:$A$220,0,0)</f>
        <v>6</v>
      </c>
      <c r="N101" s="7">
        <f>_xlfn.XLOOKUP(H101,Unidades!$C$3:$C$8,Unidades!$B$3:$B$8,0,0)</f>
        <v>3</v>
      </c>
      <c r="O101" s="140" t="str">
        <f t="shared" si="2"/>
        <v>INSERT INTO Operacao(OperacaoID, CulturaID, ParcelaID, TipoOperacaoID, DataRealizacao, Quantidade, UnidadeID) VALUES (100, 77, 106, 6,TO_DATE('10/03/2021','dd/mm/yyyy'), 0.9, 3);</v>
      </c>
      <c r="P101" s="140"/>
      <c r="Q101" s="140"/>
      <c r="R101" s="140"/>
      <c r="S101" s="140"/>
      <c r="T101" s="140"/>
      <c r="U101" s="140"/>
      <c r="V101" s="140"/>
      <c r="W101" s="140"/>
      <c r="X101" s="140"/>
      <c r="Y101" s="140"/>
      <c r="Z101" s="140"/>
      <c r="AA101" s="140"/>
    </row>
    <row r="102" spans="1:27" x14ac:dyDescent="0.25">
      <c r="A102" s="7">
        <v>103</v>
      </c>
      <c r="B102" t="s">
        <v>180</v>
      </c>
      <c r="C102" t="s">
        <v>214</v>
      </c>
      <c r="E102" t="s">
        <v>205</v>
      </c>
      <c r="F102" s="1">
        <v>44269</v>
      </c>
      <c r="G102">
        <v>1.3</v>
      </c>
      <c r="H102" t="s">
        <v>178</v>
      </c>
      <c r="K102" s="7">
        <f t="shared" si="3"/>
        <v>101</v>
      </c>
      <c r="L102" s="7">
        <f>_xlfn.XLOOKUP(E102,Plantas!$V$2:$V$96,Plantas!$U$2:$U$96,0,0)</f>
        <v>80</v>
      </c>
      <c r="M102" s="7" cm="1">
        <f t="array" ref="M102">_xlfn.XLOOKUP(C102,_xlfn.ANCHORARRAY($B$213),$A$213:$A$220,0,0)</f>
        <v>8</v>
      </c>
      <c r="N102" s="7">
        <f>_xlfn.XLOOKUP(H102,Unidades!$C$3:$C$8,Unidades!$B$3:$B$8,0,0)</f>
        <v>4</v>
      </c>
      <c r="O102" s="140" t="str">
        <f t="shared" si="2"/>
        <v>INSERT INTO Operacao(OperacaoID, CulturaID, ParcelaID, TipoOperacaoID, DataRealizacao, Quantidade, UnidadeID) VALUES (101, 80, 103, 8,TO_DATE('14/03/2021','dd/mm/yyyy'), 1.3, 4);</v>
      </c>
      <c r="P102" s="140"/>
      <c r="Q102" s="140"/>
      <c r="R102" s="140"/>
      <c r="S102" s="140"/>
      <c r="T102" s="140"/>
      <c r="U102" s="140"/>
      <c r="V102" s="140"/>
      <c r="W102" s="140"/>
      <c r="X102" s="140"/>
      <c r="Y102" s="140"/>
      <c r="Z102" s="140"/>
      <c r="AA102" s="140"/>
    </row>
    <row r="103" spans="1:27" x14ac:dyDescent="0.25">
      <c r="A103" s="7">
        <v>101</v>
      </c>
      <c r="B103" t="s">
        <v>177</v>
      </c>
      <c r="C103" t="s">
        <v>214</v>
      </c>
      <c r="E103" t="s">
        <v>205</v>
      </c>
      <c r="F103" s="1">
        <v>44285</v>
      </c>
      <c r="G103">
        <v>1.3</v>
      </c>
      <c r="H103" t="s">
        <v>178</v>
      </c>
      <c r="K103" s="7">
        <f t="shared" si="3"/>
        <v>102</v>
      </c>
      <c r="L103" s="7">
        <f>_xlfn.XLOOKUP(E103,Plantas!$V$2:$V$96,Plantas!$U$2:$U$96,0,0)</f>
        <v>80</v>
      </c>
      <c r="M103" s="7" cm="1">
        <f t="array" ref="M103">_xlfn.XLOOKUP(C103,_xlfn.ANCHORARRAY($B$213),$A$213:$A$220,0,0)</f>
        <v>8</v>
      </c>
      <c r="N103" s="7">
        <f>_xlfn.XLOOKUP(H103,Unidades!$C$3:$C$8,Unidades!$B$3:$B$8,0,0)</f>
        <v>4</v>
      </c>
      <c r="O103" s="140" t="str">
        <f t="shared" si="2"/>
        <v>INSERT INTO Operacao(OperacaoID, CulturaID, ParcelaID, TipoOperacaoID, DataRealizacao, Quantidade, UnidadeID) VALUES (102, 80, 101, 8,TO_DATE('30/03/2021','dd/mm/yyyy'), 1.3, 4);</v>
      </c>
      <c r="P103" s="140"/>
      <c r="Q103" s="140"/>
      <c r="R103" s="140"/>
      <c r="S103" s="140"/>
      <c r="T103" s="140"/>
      <c r="U103" s="140"/>
      <c r="V103" s="140"/>
      <c r="W103" s="140"/>
      <c r="X103" s="140"/>
      <c r="Y103" s="140"/>
      <c r="Z103" s="140"/>
      <c r="AA103" s="140"/>
    </row>
    <row r="104" spans="1:27" x14ac:dyDescent="0.25">
      <c r="A104" s="7">
        <v>103</v>
      </c>
      <c r="B104" t="s">
        <v>180</v>
      </c>
      <c r="C104" t="s">
        <v>213</v>
      </c>
      <c r="E104" t="s">
        <v>238</v>
      </c>
      <c r="F104" s="1">
        <v>44289</v>
      </c>
      <c r="G104">
        <v>1.2</v>
      </c>
      <c r="H104" t="s">
        <v>178</v>
      </c>
      <c r="K104" s="7">
        <f t="shared" si="3"/>
        <v>103</v>
      </c>
      <c r="L104" s="7">
        <f>_xlfn.XLOOKUP(E104,Plantas!$V$2:$V$96,Plantas!$U$2:$U$96,0,0)</f>
        <v>82</v>
      </c>
      <c r="M104" s="7" cm="1">
        <f t="array" ref="M104">_xlfn.XLOOKUP(C104,_xlfn.ANCHORARRAY($B$213),$A$213:$A$220,0,0)</f>
        <v>6</v>
      </c>
      <c r="N104" s="7">
        <f>_xlfn.XLOOKUP(H104,Unidades!$C$3:$C$8,Unidades!$B$3:$B$8,0,0)</f>
        <v>4</v>
      </c>
      <c r="O104" s="140" t="str">
        <f t="shared" si="2"/>
        <v>INSERT INTO Operacao(OperacaoID, CulturaID, ParcelaID, TipoOperacaoID, DataRealizacao, Quantidade, UnidadeID) VALUES (103, 82, 103, 6,TO_DATE('03/04/2021','dd/mm/yyyy'), 1.2, 4);</v>
      </c>
      <c r="P104" s="140"/>
      <c r="Q104" s="140"/>
      <c r="R104" s="140"/>
      <c r="S104" s="140"/>
      <c r="T104" s="140"/>
      <c r="U104" s="140"/>
      <c r="V104" s="140"/>
      <c r="W104" s="140"/>
      <c r="X104" s="140"/>
      <c r="Y104" s="140"/>
      <c r="Z104" s="140"/>
      <c r="AA104" s="140"/>
    </row>
    <row r="105" spans="1:27" x14ac:dyDescent="0.25">
      <c r="A105" s="7">
        <v>101</v>
      </c>
      <c r="B105" t="s">
        <v>177</v>
      </c>
      <c r="C105" t="s">
        <v>213</v>
      </c>
      <c r="E105" t="s">
        <v>206</v>
      </c>
      <c r="F105" s="1">
        <v>44301</v>
      </c>
      <c r="G105">
        <v>30</v>
      </c>
      <c r="H105" t="s">
        <v>217</v>
      </c>
      <c r="K105" s="7">
        <f t="shared" si="3"/>
        <v>104</v>
      </c>
      <c r="L105" s="7">
        <f>_xlfn.XLOOKUP(E105,Plantas!$V$2:$V$96,Plantas!$U$2:$U$96,0,0)</f>
        <v>83</v>
      </c>
      <c r="M105" s="7" cm="1">
        <f t="array" ref="M105">_xlfn.XLOOKUP(C105,_xlfn.ANCHORARRAY($B$213),$A$213:$A$220,0,0)</f>
        <v>6</v>
      </c>
      <c r="N105" s="7">
        <f>_xlfn.XLOOKUP(H105,Unidades!$C$3:$C$8,Unidades!$B$3:$B$8,0,0)</f>
        <v>3</v>
      </c>
      <c r="O105" s="140" t="str">
        <f t="shared" si="2"/>
        <v>INSERT INTO Operacao(OperacaoID, CulturaID, ParcelaID, TipoOperacaoID, DataRealizacao, Quantidade, UnidadeID) VALUES (104, 83, 101, 6,TO_DATE('15/04/2021','dd/mm/yyyy'), 30, 3);</v>
      </c>
      <c r="P105" s="140"/>
      <c r="Q105" s="140"/>
      <c r="R105" s="140"/>
      <c r="S105" s="140"/>
      <c r="T105" s="140"/>
      <c r="U105" s="140"/>
      <c r="V105" s="140"/>
      <c r="W105" s="140"/>
      <c r="X105" s="140"/>
      <c r="Y105" s="140"/>
      <c r="Z105" s="140"/>
      <c r="AA105" s="140"/>
    </row>
    <row r="106" spans="1:27" x14ac:dyDescent="0.25">
      <c r="A106" s="7">
        <v>104</v>
      </c>
      <c r="B106" t="s">
        <v>181</v>
      </c>
      <c r="C106" t="s">
        <v>215</v>
      </c>
      <c r="D106" t="s">
        <v>216</v>
      </c>
      <c r="E106" t="s">
        <v>48</v>
      </c>
      <c r="F106" s="1">
        <v>44318</v>
      </c>
      <c r="G106">
        <v>10</v>
      </c>
      <c r="H106" t="s">
        <v>217</v>
      </c>
      <c r="I106" t="s">
        <v>159</v>
      </c>
      <c r="K106" s="7">
        <f t="shared" si="3"/>
        <v>105</v>
      </c>
      <c r="L106" s="7">
        <f>_xlfn.XLOOKUP(E106,Plantas!$V$2:$V$96,Plantas!$U$2:$U$96,0,0)</f>
        <v>0</v>
      </c>
      <c r="M106" s="7" cm="1">
        <f t="array" ref="M106">_xlfn.XLOOKUP(C106,_xlfn.ANCHORARRAY($B$213),$A$213:$A$220,0,0)</f>
        <v>4</v>
      </c>
      <c r="N106" s="7">
        <f>_xlfn.XLOOKUP(H106,Unidades!$C$3:$C$8,Unidades!$B$3:$B$8,0,0)</f>
        <v>3</v>
      </c>
      <c r="O106" s="140" t="str">
        <f t="shared" si="2"/>
        <v>INSERT INTO Operacao(OperacaoID, CulturaID, ParcelaID, TipoOperacaoID, DataRealizacao, Quantidade, UnidadeID) VALUES (105, 0, 104, 4,TO_DATE('02/05/2021','dd/mm/yyyy'), 10, 3);</v>
      </c>
      <c r="P106" s="140"/>
      <c r="Q106" s="140"/>
      <c r="R106" s="140"/>
      <c r="S106" s="140"/>
      <c r="T106" s="140"/>
      <c r="U106" s="140"/>
      <c r="V106" s="140"/>
      <c r="W106" s="140"/>
      <c r="X106" s="140"/>
      <c r="Y106" s="140"/>
      <c r="Z106" s="140"/>
      <c r="AA106" s="140"/>
    </row>
    <row r="107" spans="1:27" x14ac:dyDescent="0.25">
      <c r="A107" s="7">
        <v>106</v>
      </c>
      <c r="B107" t="s">
        <v>219</v>
      </c>
      <c r="C107" t="s">
        <v>7</v>
      </c>
      <c r="E107" t="s">
        <v>252</v>
      </c>
      <c r="F107" s="1">
        <v>44321</v>
      </c>
      <c r="G107">
        <v>2200</v>
      </c>
      <c r="H107" t="s">
        <v>217</v>
      </c>
      <c r="K107" s="7">
        <f t="shared" si="3"/>
        <v>106</v>
      </c>
      <c r="L107" s="7">
        <f>_xlfn.XLOOKUP(E107,Plantas!$V$2:$V$96,Plantas!$U$2:$U$96,0,0)</f>
        <v>77</v>
      </c>
      <c r="M107" s="7" cm="1">
        <f t="array" ref="M107">_xlfn.XLOOKUP(C107,_xlfn.ANCHORARRAY($B$213),$A$213:$A$220,0,0)</f>
        <v>7</v>
      </c>
      <c r="N107" s="7">
        <f>_xlfn.XLOOKUP(H107,Unidades!$C$3:$C$8,Unidades!$B$3:$B$8,0,0)</f>
        <v>3</v>
      </c>
      <c r="O107" s="140" t="str">
        <f t="shared" si="2"/>
        <v>INSERT INTO Operacao(OperacaoID, CulturaID, ParcelaID, TipoOperacaoID, DataRealizacao, Quantidade, UnidadeID) VALUES (106, 77, 106, 7,TO_DATE('05/05/2021','dd/mm/yyyy'), 2200, 3);</v>
      </c>
      <c r="P107" s="140"/>
      <c r="Q107" s="140"/>
      <c r="R107" s="140"/>
      <c r="S107" s="140"/>
      <c r="T107" s="140"/>
      <c r="U107" s="140"/>
      <c r="V107" s="140"/>
      <c r="W107" s="140"/>
      <c r="X107" s="140"/>
      <c r="Y107" s="140"/>
      <c r="Z107" s="140"/>
      <c r="AA107" s="140"/>
    </row>
    <row r="108" spans="1:27" x14ac:dyDescent="0.25">
      <c r="A108" s="7">
        <v>106</v>
      </c>
      <c r="B108" t="s">
        <v>219</v>
      </c>
      <c r="C108" t="s">
        <v>7</v>
      </c>
      <c r="E108" t="s">
        <v>252</v>
      </c>
      <c r="F108" s="1">
        <v>44331</v>
      </c>
      <c r="G108">
        <v>1400</v>
      </c>
      <c r="H108" t="s">
        <v>217</v>
      </c>
      <c r="K108" s="7">
        <f t="shared" si="3"/>
        <v>107</v>
      </c>
      <c r="L108" s="7">
        <f>_xlfn.XLOOKUP(E108,Plantas!$V$2:$V$96,Plantas!$U$2:$U$96,0,0)</f>
        <v>77</v>
      </c>
      <c r="M108" s="7" cm="1">
        <f t="array" ref="M108">_xlfn.XLOOKUP(C108,_xlfn.ANCHORARRAY($B$213),$A$213:$A$220,0,0)</f>
        <v>7</v>
      </c>
      <c r="N108" s="7">
        <f>_xlfn.XLOOKUP(H108,Unidades!$C$3:$C$8,Unidades!$B$3:$B$8,0,0)</f>
        <v>3</v>
      </c>
      <c r="O108" s="140" t="str">
        <f t="shared" si="2"/>
        <v>INSERT INTO Operacao(OperacaoID, CulturaID, ParcelaID, TipoOperacaoID, DataRealizacao, Quantidade, UnidadeID) VALUES (107, 77, 106, 7,TO_DATE('15/05/2021','dd/mm/yyyy'), 1400, 3);</v>
      </c>
      <c r="P108" s="140"/>
      <c r="Q108" s="140"/>
      <c r="R108" s="140"/>
      <c r="S108" s="140"/>
      <c r="T108" s="140"/>
      <c r="U108" s="140"/>
      <c r="V108" s="140"/>
      <c r="W108" s="140"/>
      <c r="X108" s="140"/>
      <c r="Y108" s="140"/>
      <c r="Z108" s="140"/>
      <c r="AA108" s="140"/>
    </row>
    <row r="109" spans="1:27" x14ac:dyDescent="0.25">
      <c r="A109" s="7">
        <v>106</v>
      </c>
      <c r="B109" t="s">
        <v>219</v>
      </c>
      <c r="C109" t="s">
        <v>213</v>
      </c>
      <c r="E109" t="s">
        <v>253</v>
      </c>
      <c r="F109" s="1">
        <v>44349</v>
      </c>
      <c r="G109">
        <v>0.6</v>
      </c>
      <c r="H109" t="s">
        <v>217</v>
      </c>
      <c r="K109" s="7">
        <f t="shared" si="3"/>
        <v>108</v>
      </c>
      <c r="L109" s="7">
        <f>_xlfn.XLOOKUP(E109,Plantas!$V$2:$V$96,Plantas!$U$2:$U$96,0,0)</f>
        <v>75</v>
      </c>
      <c r="M109" s="7" cm="1">
        <f t="array" ref="M109">_xlfn.XLOOKUP(C109,_xlfn.ANCHORARRAY($B$213),$A$213:$A$220,0,0)</f>
        <v>6</v>
      </c>
      <c r="N109" s="7">
        <f>_xlfn.XLOOKUP(H109,Unidades!$C$3:$C$8,Unidades!$B$3:$B$8,0,0)</f>
        <v>3</v>
      </c>
      <c r="O109" s="140" t="str">
        <f t="shared" si="2"/>
        <v>INSERT INTO Operacao(OperacaoID, CulturaID, ParcelaID, TipoOperacaoID, DataRealizacao, Quantidade, UnidadeID) VALUES (108, 75, 106, 6,TO_DATE('02/06/2021','dd/mm/yyyy'), 0.6, 3);</v>
      </c>
      <c r="P109" s="140"/>
      <c r="Q109" s="140"/>
      <c r="R109" s="140"/>
      <c r="S109" s="140"/>
      <c r="T109" s="140"/>
      <c r="U109" s="140"/>
      <c r="V109" s="140"/>
      <c r="W109" s="140"/>
      <c r="X109" s="140"/>
      <c r="Y109" s="140"/>
      <c r="Z109" s="140"/>
      <c r="AA109" s="140"/>
    </row>
    <row r="110" spans="1:27" x14ac:dyDescent="0.25">
      <c r="A110" s="7">
        <v>106</v>
      </c>
      <c r="B110" t="s">
        <v>219</v>
      </c>
      <c r="C110" t="s">
        <v>190</v>
      </c>
      <c r="E110" t="s">
        <v>253</v>
      </c>
      <c r="F110" s="1">
        <v>44367</v>
      </c>
      <c r="G110">
        <v>3</v>
      </c>
      <c r="H110" t="s">
        <v>192</v>
      </c>
      <c r="K110" s="7">
        <f t="shared" si="3"/>
        <v>109</v>
      </c>
      <c r="L110" s="7">
        <f>_xlfn.XLOOKUP(E110,Plantas!$V$2:$V$96,Plantas!$U$2:$U$96,0,0)</f>
        <v>75</v>
      </c>
      <c r="M110" s="7" cm="1">
        <f t="array" ref="M110">_xlfn.XLOOKUP(C110,_xlfn.ANCHORARRAY($B$213),$A$213:$A$220,0,0)</f>
        <v>2</v>
      </c>
      <c r="N110" s="7">
        <f>_xlfn.XLOOKUP(H110,Unidades!$C$3:$C$8,Unidades!$B$3:$B$8,0,0)</f>
        <v>2</v>
      </c>
      <c r="O110" s="140" t="str">
        <f t="shared" si="2"/>
        <v>INSERT INTO Operacao(OperacaoID, CulturaID, ParcelaID, TipoOperacaoID, DataRealizacao, Quantidade, UnidadeID) VALUES (109, 75, 106, 2,TO_DATE('20/06/2021','dd/mm/yyyy'), 3, 2);</v>
      </c>
      <c r="P110" s="140"/>
      <c r="Q110" s="140"/>
      <c r="R110" s="140"/>
      <c r="S110" s="140"/>
      <c r="T110" s="140"/>
      <c r="U110" s="140"/>
      <c r="V110" s="140"/>
      <c r="W110" s="140"/>
      <c r="X110" s="140"/>
      <c r="Y110" s="140"/>
      <c r="Z110" s="140"/>
      <c r="AA110" s="140"/>
    </row>
    <row r="111" spans="1:27" x14ac:dyDescent="0.25">
      <c r="A111" s="7">
        <v>102</v>
      </c>
      <c r="B111" t="s">
        <v>198</v>
      </c>
      <c r="C111" t="s">
        <v>190</v>
      </c>
      <c r="E111" t="s">
        <v>201</v>
      </c>
      <c r="F111" s="1">
        <v>44380</v>
      </c>
      <c r="G111">
        <v>0.8</v>
      </c>
      <c r="H111" t="s">
        <v>192</v>
      </c>
      <c r="K111" s="7">
        <f t="shared" si="3"/>
        <v>110</v>
      </c>
      <c r="L111" s="7">
        <f>_xlfn.XLOOKUP(E111,Plantas!$V$2:$V$96,Plantas!$U$2:$U$96,0,0)</f>
        <v>89</v>
      </c>
      <c r="M111" s="7" cm="1">
        <f t="array" ref="M111">_xlfn.XLOOKUP(C111,_xlfn.ANCHORARRAY($B$213),$A$213:$A$220,0,0)</f>
        <v>2</v>
      </c>
      <c r="N111" s="7">
        <f>_xlfn.XLOOKUP(H111,Unidades!$C$3:$C$8,Unidades!$B$3:$B$8,0,0)</f>
        <v>2</v>
      </c>
      <c r="O111" s="140" t="str">
        <f t="shared" si="2"/>
        <v>INSERT INTO Operacao(OperacaoID, CulturaID, ParcelaID, TipoOperacaoID, DataRealizacao, Quantidade, UnidadeID) VALUES (110, 89, 102, 2,TO_DATE('03/07/2021','dd/mm/yyyy'), 0.8, 2);</v>
      </c>
      <c r="P111" s="140"/>
      <c r="Q111" s="140"/>
      <c r="R111" s="140"/>
      <c r="S111" s="140"/>
      <c r="T111" s="140"/>
      <c r="U111" s="140"/>
      <c r="V111" s="140"/>
      <c r="W111" s="140"/>
      <c r="X111" s="140"/>
      <c r="Y111" s="140"/>
      <c r="Z111" s="140"/>
      <c r="AA111" s="140"/>
    </row>
    <row r="112" spans="1:27" x14ac:dyDescent="0.25">
      <c r="A112" s="7">
        <v>102</v>
      </c>
      <c r="B112" t="s">
        <v>198</v>
      </c>
      <c r="C112" t="s">
        <v>190</v>
      </c>
      <c r="E112" t="s">
        <v>199</v>
      </c>
      <c r="F112" s="1">
        <v>44380</v>
      </c>
      <c r="G112">
        <v>1.5</v>
      </c>
      <c r="H112" t="s">
        <v>192</v>
      </c>
      <c r="K112" s="7">
        <f t="shared" si="3"/>
        <v>111</v>
      </c>
      <c r="L112" s="7">
        <f>_xlfn.XLOOKUP(E112,Plantas!$V$2:$V$96,Plantas!$U$2:$U$96,0,0)</f>
        <v>92</v>
      </c>
      <c r="M112" s="7" cm="1">
        <f t="array" ref="M112">_xlfn.XLOOKUP(C112,_xlfn.ANCHORARRAY($B$213),$A$213:$A$220,0,0)</f>
        <v>2</v>
      </c>
      <c r="N112" s="7">
        <f>_xlfn.XLOOKUP(H112,Unidades!$C$3:$C$8,Unidades!$B$3:$B$8,0,0)</f>
        <v>2</v>
      </c>
      <c r="O112" s="140" t="str">
        <f t="shared" si="2"/>
        <v>INSERT INTO Operacao(OperacaoID, CulturaID, ParcelaID, TipoOperacaoID, DataRealizacao, Quantidade, UnidadeID) VALUES (111, 92, 102, 2,TO_DATE('03/07/2021','dd/mm/yyyy'), 1.5, 2);</v>
      </c>
      <c r="P112" s="140"/>
      <c r="Q112" s="140"/>
      <c r="R112" s="140"/>
      <c r="S112" s="140"/>
      <c r="T112" s="140"/>
      <c r="U112" s="140"/>
      <c r="V112" s="140"/>
      <c r="W112" s="140"/>
      <c r="X112" s="140"/>
      <c r="Y112" s="140"/>
      <c r="Z112" s="140"/>
      <c r="AA112" s="140"/>
    </row>
    <row r="113" spans="1:27" x14ac:dyDescent="0.25">
      <c r="A113" s="7">
        <v>104</v>
      </c>
      <c r="B113" t="s">
        <v>181</v>
      </c>
      <c r="C113" t="s">
        <v>190</v>
      </c>
      <c r="E113" t="s">
        <v>48</v>
      </c>
      <c r="F113" s="1">
        <v>44382</v>
      </c>
      <c r="G113">
        <v>5</v>
      </c>
      <c r="H113" t="s">
        <v>192</v>
      </c>
      <c r="K113" s="7">
        <f t="shared" si="3"/>
        <v>112</v>
      </c>
      <c r="L113" s="7">
        <f>_xlfn.XLOOKUP(E113,Plantas!$V$2:$V$96,Plantas!$U$2:$U$96,0,0)</f>
        <v>0</v>
      </c>
      <c r="M113" s="7" cm="1">
        <f t="array" ref="M113">_xlfn.XLOOKUP(C113,_xlfn.ANCHORARRAY($B$213),$A$213:$A$220,0,0)</f>
        <v>2</v>
      </c>
      <c r="N113" s="7">
        <f>_xlfn.XLOOKUP(H113,Unidades!$C$3:$C$8,Unidades!$B$3:$B$8,0,0)</f>
        <v>2</v>
      </c>
      <c r="O113" s="140" t="str">
        <f t="shared" si="2"/>
        <v>INSERT INTO Operacao(OperacaoID, CulturaID, ParcelaID, TipoOperacaoID, DataRealizacao, Quantidade, UnidadeID) VALUES (112, 0, 104, 2,TO_DATE('05/07/2021','dd/mm/yyyy'), 5, 2);</v>
      </c>
      <c r="P113" s="140"/>
      <c r="Q113" s="140"/>
      <c r="R113" s="140"/>
      <c r="S113" s="140"/>
      <c r="T113" s="140"/>
      <c r="U113" s="140"/>
      <c r="V113" s="140"/>
      <c r="W113" s="140"/>
      <c r="X113" s="140"/>
      <c r="Y113" s="140"/>
      <c r="Z113" s="140"/>
      <c r="AA113" s="140"/>
    </row>
    <row r="114" spans="1:27" x14ac:dyDescent="0.25">
      <c r="A114" s="7">
        <v>106</v>
      </c>
      <c r="B114" t="s">
        <v>219</v>
      </c>
      <c r="C114" t="s">
        <v>190</v>
      </c>
      <c r="E114" t="s">
        <v>253</v>
      </c>
      <c r="F114" s="1">
        <v>44384</v>
      </c>
      <c r="G114">
        <v>3</v>
      </c>
      <c r="H114" t="s">
        <v>192</v>
      </c>
      <c r="K114" s="7">
        <f t="shared" si="3"/>
        <v>113</v>
      </c>
      <c r="L114" s="7">
        <f>_xlfn.XLOOKUP(E114,Plantas!$V$2:$V$96,Plantas!$U$2:$U$96,0,0)</f>
        <v>75</v>
      </c>
      <c r="M114" s="7" cm="1">
        <f t="array" ref="M114">_xlfn.XLOOKUP(C114,_xlfn.ANCHORARRAY($B$213),$A$213:$A$220,0,0)</f>
        <v>2</v>
      </c>
      <c r="N114" s="7">
        <f>_xlfn.XLOOKUP(H114,Unidades!$C$3:$C$8,Unidades!$B$3:$B$8,0,0)</f>
        <v>2</v>
      </c>
      <c r="O114" s="140" t="str">
        <f t="shared" si="2"/>
        <v>INSERT INTO Operacao(OperacaoID, CulturaID, ParcelaID, TipoOperacaoID, DataRealizacao, Quantidade, UnidadeID) VALUES (113, 75, 106, 2,TO_DATE('07/07/2021','dd/mm/yyyy'), 3, 2);</v>
      </c>
      <c r="P114" s="140"/>
      <c r="Q114" s="140"/>
      <c r="R114" s="140"/>
      <c r="S114" s="140"/>
      <c r="T114" s="140"/>
      <c r="U114" s="140"/>
      <c r="V114" s="140"/>
      <c r="W114" s="140"/>
      <c r="X114" s="140"/>
      <c r="Y114" s="140"/>
      <c r="Z114" s="140"/>
      <c r="AA114" s="140"/>
    </row>
    <row r="115" spans="1:27" x14ac:dyDescent="0.25">
      <c r="A115" s="7">
        <v>107</v>
      </c>
      <c r="B115" t="s">
        <v>245</v>
      </c>
      <c r="C115" t="s">
        <v>190</v>
      </c>
      <c r="E115" t="s">
        <v>240</v>
      </c>
      <c r="F115" s="1">
        <v>44387</v>
      </c>
      <c r="G115">
        <v>7</v>
      </c>
      <c r="H115" t="s">
        <v>192</v>
      </c>
      <c r="K115" s="7">
        <f t="shared" si="3"/>
        <v>114</v>
      </c>
      <c r="L115" s="7">
        <f>_xlfn.XLOOKUP(E115,Plantas!$V$2:$V$96,Plantas!$U$2:$U$96,0,0)</f>
        <v>0</v>
      </c>
      <c r="M115" s="7" cm="1">
        <f t="array" ref="M115">_xlfn.XLOOKUP(C115,_xlfn.ANCHORARRAY($B$213),$A$213:$A$220,0,0)</f>
        <v>2</v>
      </c>
      <c r="N115" s="7">
        <f>_xlfn.XLOOKUP(H115,Unidades!$C$3:$C$8,Unidades!$B$3:$B$8,0,0)</f>
        <v>2</v>
      </c>
      <c r="O115" s="140" t="str">
        <f t="shared" si="2"/>
        <v>INSERT INTO Operacao(OperacaoID, CulturaID, ParcelaID, TipoOperacaoID, DataRealizacao, Quantidade, UnidadeID) VALUES (114, 0, 107, 2,TO_DATE('10/07/2021','dd/mm/yyyy'), 7, 2);</v>
      </c>
      <c r="P115" s="140"/>
      <c r="Q115" s="140"/>
      <c r="R115" s="140"/>
      <c r="S115" s="140"/>
      <c r="T115" s="140"/>
      <c r="U115" s="140"/>
      <c r="V115" s="140"/>
      <c r="W115" s="140"/>
      <c r="X115" s="140"/>
      <c r="Y115" s="140"/>
      <c r="Z115" s="140"/>
      <c r="AA115" s="140"/>
    </row>
    <row r="116" spans="1:27" x14ac:dyDescent="0.25">
      <c r="A116" s="7">
        <v>103</v>
      </c>
      <c r="B116" t="s">
        <v>180</v>
      </c>
      <c r="C116" t="s">
        <v>190</v>
      </c>
      <c r="E116" t="s">
        <v>238</v>
      </c>
      <c r="F116" s="1">
        <v>44389</v>
      </c>
      <c r="G116">
        <v>15</v>
      </c>
      <c r="H116" t="s">
        <v>192</v>
      </c>
      <c r="K116" s="7">
        <f t="shared" si="3"/>
        <v>115</v>
      </c>
      <c r="L116" s="7">
        <f>_xlfn.XLOOKUP(E116,Plantas!$V$2:$V$96,Plantas!$U$2:$U$96,0,0)</f>
        <v>82</v>
      </c>
      <c r="M116" s="7" cm="1">
        <f t="array" ref="M116">_xlfn.XLOOKUP(C116,_xlfn.ANCHORARRAY($B$213),$A$213:$A$220,0,0)</f>
        <v>2</v>
      </c>
      <c r="N116" s="7">
        <f>_xlfn.XLOOKUP(H116,Unidades!$C$3:$C$8,Unidades!$B$3:$B$8,0,0)</f>
        <v>2</v>
      </c>
      <c r="O116" s="140" t="str">
        <f t="shared" si="2"/>
        <v>INSERT INTO Operacao(OperacaoID, CulturaID, ParcelaID, TipoOperacaoID, DataRealizacao, Quantidade, UnidadeID) VALUES (115, 82, 103, 2,TO_DATE('12/07/2021','dd/mm/yyyy'), 15, 2);</v>
      </c>
      <c r="P116" s="140"/>
      <c r="Q116" s="140"/>
      <c r="R116" s="140"/>
      <c r="S116" s="140"/>
      <c r="T116" s="140"/>
      <c r="U116" s="140"/>
      <c r="V116" s="140"/>
      <c r="W116" s="140"/>
      <c r="X116" s="140"/>
      <c r="Y116" s="140"/>
      <c r="Z116" s="140"/>
      <c r="AA116" s="140"/>
    </row>
    <row r="117" spans="1:27" x14ac:dyDescent="0.25">
      <c r="A117" s="7">
        <v>107</v>
      </c>
      <c r="B117" t="s">
        <v>245</v>
      </c>
      <c r="C117" t="s">
        <v>7</v>
      </c>
      <c r="E117" t="s">
        <v>246</v>
      </c>
      <c r="F117" s="1">
        <v>44392</v>
      </c>
      <c r="G117">
        <v>300</v>
      </c>
      <c r="H117" t="s">
        <v>217</v>
      </c>
      <c r="K117" s="7">
        <f t="shared" si="3"/>
        <v>116</v>
      </c>
      <c r="L117" s="7">
        <f>_xlfn.XLOOKUP(E117,Plantas!$V$2:$V$96,Plantas!$U$2:$U$96,0,0)</f>
        <v>94</v>
      </c>
      <c r="M117" s="7" cm="1">
        <f t="array" ref="M117">_xlfn.XLOOKUP(C117,_xlfn.ANCHORARRAY($B$213),$A$213:$A$220,0,0)</f>
        <v>7</v>
      </c>
      <c r="N117" s="7">
        <f>_xlfn.XLOOKUP(H117,Unidades!$C$3:$C$8,Unidades!$B$3:$B$8,0,0)</f>
        <v>3</v>
      </c>
      <c r="O117" s="140" t="str">
        <f t="shared" si="2"/>
        <v>INSERT INTO Operacao(OperacaoID, CulturaID, ParcelaID, TipoOperacaoID, DataRealizacao, Quantidade, UnidadeID) VALUES (116, 94, 107, 7,TO_DATE('15/07/2021','dd/mm/yyyy'), 300, 3);</v>
      </c>
      <c r="P117" s="140"/>
      <c r="Q117" s="140"/>
      <c r="R117" s="140"/>
      <c r="S117" s="140"/>
      <c r="T117" s="140"/>
      <c r="U117" s="140"/>
      <c r="V117" s="140"/>
      <c r="W117" s="140"/>
      <c r="X117" s="140"/>
      <c r="Y117" s="140"/>
      <c r="Z117" s="140"/>
      <c r="AA117" s="140"/>
    </row>
    <row r="118" spans="1:27" x14ac:dyDescent="0.25">
      <c r="A118" s="7">
        <v>107</v>
      </c>
      <c r="B118" t="s">
        <v>245</v>
      </c>
      <c r="C118" t="s">
        <v>7</v>
      </c>
      <c r="E118" t="s">
        <v>246</v>
      </c>
      <c r="F118" s="1">
        <v>44397</v>
      </c>
      <c r="G118">
        <v>400</v>
      </c>
      <c r="H118" t="s">
        <v>217</v>
      </c>
      <c r="K118" s="7">
        <f t="shared" si="3"/>
        <v>117</v>
      </c>
      <c r="L118" s="7">
        <f>_xlfn.XLOOKUP(E118,Plantas!$V$2:$V$96,Plantas!$U$2:$U$96,0,0)</f>
        <v>94</v>
      </c>
      <c r="M118" s="7" cm="1">
        <f t="array" ref="M118">_xlfn.XLOOKUP(C118,_xlfn.ANCHORARRAY($B$213),$A$213:$A$220,0,0)</f>
        <v>7</v>
      </c>
      <c r="N118" s="7">
        <f>_xlfn.XLOOKUP(H118,Unidades!$C$3:$C$8,Unidades!$B$3:$B$8,0,0)</f>
        <v>3</v>
      </c>
      <c r="O118" s="140" t="str">
        <f t="shared" si="2"/>
        <v>INSERT INTO Operacao(OperacaoID, CulturaID, ParcelaID, TipoOperacaoID, DataRealizacao, Quantidade, UnidadeID) VALUES (117, 94, 107, 7,TO_DATE('20/07/2021','dd/mm/yyyy'), 400, 3);</v>
      </c>
      <c r="P118" s="140"/>
      <c r="Q118" s="140"/>
      <c r="R118" s="140"/>
      <c r="S118" s="140"/>
      <c r="T118" s="140"/>
      <c r="U118" s="140"/>
      <c r="V118" s="140"/>
      <c r="W118" s="140"/>
      <c r="X118" s="140"/>
      <c r="Y118" s="140"/>
      <c r="Z118" s="140"/>
      <c r="AA118" s="140"/>
    </row>
    <row r="119" spans="1:27" x14ac:dyDescent="0.25">
      <c r="A119" s="7">
        <v>103</v>
      </c>
      <c r="B119" t="s">
        <v>180</v>
      </c>
      <c r="C119" t="s">
        <v>190</v>
      </c>
      <c r="E119" t="s">
        <v>238</v>
      </c>
      <c r="F119" s="1">
        <v>44401</v>
      </c>
      <c r="G119">
        <v>15</v>
      </c>
      <c r="H119" t="s">
        <v>192</v>
      </c>
      <c r="K119" s="7">
        <f t="shared" si="3"/>
        <v>118</v>
      </c>
      <c r="L119" s="7">
        <f>_xlfn.XLOOKUP(E119,Plantas!$V$2:$V$96,Plantas!$U$2:$U$96,0,0)</f>
        <v>82</v>
      </c>
      <c r="M119" s="7" cm="1">
        <f t="array" ref="M119">_xlfn.XLOOKUP(C119,_xlfn.ANCHORARRAY($B$213),$A$213:$A$220,0,0)</f>
        <v>2</v>
      </c>
      <c r="N119" s="7">
        <f>_xlfn.XLOOKUP(H119,Unidades!$C$3:$C$8,Unidades!$B$3:$B$8,0,0)</f>
        <v>2</v>
      </c>
      <c r="O119" s="140" t="str">
        <f t="shared" si="2"/>
        <v>INSERT INTO Operacao(OperacaoID, CulturaID, ParcelaID, TipoOperacaoID, DataRealizacao, Quantidade, UnidadeID) VALUES (118, 82, 103, 2,TO_DATE('24/07/2021','dd/mm/yyyy'), 15, 2);</v>
      </c>
      <c r="P119" s="140"/>
      <c r="Q119" s="140"/>
      <c r="R119" s="140"/>
      <c r="S119" s="140"/>
      <c r="T119" s="140"/>
      <c r="U119" s="140"/>
      <c r="V119" s="140"/>
      <c r="W119" s="140"/>
      <c r="X119" s="140"/>
      <c r="Y119" s="140"/>
      <c r="Z119" s="140"/>
      <c r="AA119" s="140"/>
    </row>
    <row r="120" spans="1:27" x14ac:dyDescent="0.25">
      <c r="A120" s="7">
        <v>104</v>
      </c>
      <c r="B120" t="s">
        <v>181</v>
      </c>
      <c r="C120" t="s">
        <v>190</v>
      </c>
      <c r="E120" t="s">
        <v>48</v>
      </c>
      <c r="F120" s="1">
        <v>44407</v>
      </c>
      <c r="G120">
        <v>5.5</v>
      </c>
      <c r="H120" t="s">
        <v>192</v>
      </c>
      <c r="K120" s="7">
        <f t="shared" si="3"/>
        <v>119</v>
      </c>
      <c r="L120" s="7">
        <f>_xlfn.XLOOKUP(E120,Plantas!$V$2:$V$96,Plantas!$U$2:$U$96,0,0)</f>
        <v>0</v>
      </c>
      <c r="M120" s="7" cm="1">
        <f t="array" ref="M120">_xlfn.XLOOKUP(C120,_xlfn.ANCHORARRAY($B$213),$A$213:$A$220,0,0)</f>
        <v>2</v>
      </c>
      <c r="N120" s="7">
        <f>_xlfn.XLOOKUP(H120,Unidades!$C$3:$C$8,Unidades!$B$3:$B$8,0,0)</f>
        <v>2</v>
      </c>
      <c r="O120" s="140" t="str">
        <f t="shared" si="2"/>
        <v>INSERT INTO Operacao(OperacaoID, CulturaID, ParcelaID, TipoOperacaoID, DataRealizacao, Quantidade, UnidadeID) VALUES (119, 0, 104, 2,TO_DATE('30/07/2021','dd/mm/yyyy'), 5.5, 2);</v>
      </c>
      <c r="P120" s="140"/>
      <c r="Q120" s="140"/>
      <c r="R120" s="140"/>
      <c r="S120" s="140"/>
      <c r="T120" s="140"/>
      <c r="U120" s="140"/>
      <c r="V120" s="140"/>
      <c r="W120" s="140"/>
      <c r="X120" s="140"/>
      <c r="Y120" s="140"/>
      <c r="Z120" s="140"/>
      <c r="AA120" s="140"/>
    </row>
    <row r="121" spans="1:27" x14ac:dyDescent="0.25">
      <c r="A121" s="7">
        <v>106</v>
      </c>
      <c r="B121" t="s">
        <v>219</v>
      </c>
      <c r="C121" t="s">
        <v>190</v>
      </c>
      <c r="E121" t="s">
        <v>253</v>
      </c>
      <c r="F121" s="1">
        <v>44407</v>
      </c>
      <c r="G121">
        <v>3.5</v>
      </c>
      <c r="H121" t="s">
        <v>192</v>
      </c>
      <c r="K121" s="7">
        <f t="shared" si="3"/>
        <v>120</v>
      </c>
      <c r="L121" s="7">
        <f>_xlfn.XLOOKUP(E121,Plantas!$V$2:$V$96,Plantas!$U$2:$U$96,0,0)</f>
        <v>75</v>
      </c>
      <c r="M121" s="7" cm="1">
        <f t="array" ref="M121">_xlfn.XLOOKUP(C121,_xlfn.ANCHORARRAY($B$213),$A$213:$A$220,0,0)</f>
        <v>2</v>
      </c>
      <c r="N121" s="7">
        <f>_xlfn.XLOOKUP(H121,Unidades!$C$3:$C$8,Unidades!$B$3:$B$8,0,0)</f>
        <v>2</v>
      </c>
      <c r="O121" s="140" t="str">
        <f t="shared" si="2"/>
        <v>INSERT INTO Operacao(OperacaoID, CulturaID, ParcelaID, TipoOperacaoID, DataRealizacao, Quantidade, UnidadeID) VALUES (120, 75, 106, 2,TO_DATE('30/07/2021','dd/mm/yyyy'), 3.5, 2);</v>
      </c>
      <c r="P121" s="140"/>
      <c r="Q121" s="140"/>
      <c r="R121" s="140"/>
      <c r="S121" s="140"/>
      <c r="T121" s="140"/>
      <c r="U121" s="140"/>
      <c r="V121" s="140"/>
      <c r="W121" s="140"/>
      <c r="X121" s="140"/>
      <c r="Y121" s="140"/>
      <c r="Z121" s="140"/>
      <c r="AA121" s="140"/>
    </row>
    <row r="122" spans="1:27" x14ac:dyDescent="0.25">
      <c r="A122" s="7">
        <v>103</v>
      </c>
      <c r="B122" t="s">
        <v>180</v>
      </c>
      <c r="C122" t="s">
        <v>190</v>
      </c>
      <c r="E122" t="s">
        <v>238</v>
      </c>
      <c r="F122" s="1">
        <v>44415</v>
      </c>
      <c r="G122">
        <v>15</v>
      </c>
      <c r="H122" t="s">
        <v>192</v>
      </c>
      <c r="K122" s="7">
        <f t="shared" si="3"/>
        <v>121</v>
      </c>
      <c r="L122" s="7">
        <f>_xlfn.XLOOKUP(E122,Plantas!$V$2:$V$96,Plantas!$U$2:$U$96,0,0)</f>
        <v>82</v>
      </c>
      <c r="M122" s="7" cm="1">
        <f t="array" ref="M122">_xlfn.XLOOKUP(C122,_xlfn.ANCHORARRAY($B$213),$A$213:$A$220,0,0)</f>
        <v>2</v>
      </c>
      <c r="N122" s="7">
        <f>_xlfn.XLOOKUP(H122,Unidades!$C$3:$C$8,Unidades!$B$3:$B$8,0,0)</f>
        <v>2</v>
      </c>
      <c r="O122" s="140" t="str">
        <f t="shared" si="2"/>
        <v>INSERT INTO Operacao(OperacaoID, CulturaID, ParcelaID, TipoOperacaoID, DataRealizacao, Quantidade, UnidadeID) VALUES (121, 82, 103, 2,TO_DATE('07/08/2021','dd/mm/yyyy'), 15, 2);</v>
      </c>
      <c r="P122" s="140"/>
      <c r="Q122" s="140"/>
      <c r="R122" s="140"/>
      <c r="S122" s="140"/>
      <c r="T122" s="140"/>
      <c r="U122" s="140"/>
      <c r="V122" s="140"/>
      <c r="W122" s="140"/>
      <c r="X122" s="140"/>
      <c r="Y122" s="140"/>
      <c r="Z122" s="140"/>
      <c r="AA122" s="140"/>
    </row>
    <row r="123" spans="1:27" x14ac:dyDescent="0.25">
      <c r="A123" s="7">
        <v>102</v>
      </c>
      <c r="B123" t="s">
        <v>198</v>
      </c>
      <c r="C123" t="s">
        <v>190</v>
      </c>
      <c r="E123" t="s">
        <v>201</v>
      </c>
      <c r="F123" s="1">
        <v>44418</v>
      </c>
      <c r="G123">
        <v>0.8</v>
      </c>
      <c r="H123" t="s">
        <v>192</v>
      </c>
      <c r="K123" s="7">
        <f t="shared" si="3"/>
        <v>122</v>
      </c>
      <c r="L123" s="7">
        <f>_xlfn.XLOOKUP(E123,Plantas!$V$2:$V$96,Plantas!$U$2:$U$96,0,0)</f>
        <v>89</v>
      </c>
      <c r="M123" s="7" cm="1">
        <f t="array" ref="M123">_xlfn.XLOOKUP(C123,_xlfn.ANCHORARRAY($B$213),$A$213:$A$220,0,0)</f>
        <v>2</v>
      </c>
      <c r="N123" s="7">
        <f>_xlfn.XLOOKUP(H123,Unidades!$C$3:$C$8,Unidades!$B$3:$B$8,0,0)</f>
        <v>2</v>
      </c>
      <c r="O123" s="140" t="str">
        <f t="shared" si="2"/>
        <v>INSERT INTO Operacao(OperacaoID, CulturaID, ParcelaID, TipoOperacaoID, DataRealizacao, Quantidade, UnidadeID) VALUES (122, 89, 102, 2,TO_DATE('10/08/2021','dd/mm/yyyy'), 0.8, 2);</v>
      </c>
      <c r="P123" s="140"/>
      <c r="Q123" s="140"/>
      <c r="R123" s="140"/>
      <c r="S123" s="140"/>
      <c r="T123" s="140"/>
      <c r="U123" s="140"/>
      <c r="V123" s="140"/>
      <c r="W123" s="140"/>
      <c r="X123" s="140"/>
      <c r="Y123" s="140"/>
      <c r="Z123" s="140"/>
      <c r="AA123" s="140"/>
    </row>
    <row r="124" spans="1:27" x14ac:dyDescent="0.25">
      <c r="A124" s="7">
        <v>102</v>
      </c>
      <c r="B124" t="s">
        <v>198</v>
      </c>
      <c r="C124" t="s">
        <v>190</v>
      </c>
      <c r="E124" t="s">
        <v>199</v>
      </c>
      <c r="F124" s="1">
        <v>44418</v>
      </c>
      <c r="G124">
        <v>1.5</v>
      </c>
      <c r="H124" t="s">
        <v>192</v>
      </c>
      <c r="K124" s="7">
        <f t="shared" si="3"/>
        <v>123</v>
      </c>
      <c r="L124" s="7">
        <f>_xlfn.XLOOKUP(E124,Plantas!$V$2:$V$96,Plantas!$U$2:$U$96,0,0)</f>
        <v>92</v>
      </c>
      <c r="M124" s="7" cm="1">
        <f t="array" ref="M124">_xlfn.XLOOKUP(C124,_xlfn.ANCHORARRAY($B$213),$A$213:$A$220,0,0)</f>
        <v>2</v>
      </c>
      <c r="N124" s="7">
        <f>_xlfn.XLOOKUP(H124,Unidades!$C$3:$C$8,Unidades!$B$3:$B$8,0,0)</f>
        <v>2</v>
      </c>
      <c r="O124" s="140" t="str">
        <f t="shared" si="2"/>
        <v>INSERT INTO Operacao(OperacaoID, CulturaID, ParcelaID, TipoOperacaoID, DataRealizacao, Quantidade, UnidadeID) VALUES (123, 92, 102, 2,TO_DATE('10/08/2021','dd/mm/yyyy'), 1.5, 2);</v>
      </c>
      <c r="P124" s="140"/>
      <c r="Q124" s="140"/>
      <c r="R124" s="140"/>
      <c r="S124" s="140"/>
      <c r="T124" s="140"/>
      <c r="U124" s="140"/>
      <c r="V124" s="140"/>
      <c r="W124" s="140"/>
      <c r="X124" s="140"/>
      <c r="Y124" s="140"/>
      <c r="Z124" s="140"/>
      <c r="AA124" s="140"/>
    </row>
    <row r="125" spans="1:27" x14ac:dyDescent="0.25">
      <c r="A125" s="7">
        <v>101</v>
      </c>
      <c r="B125" t="s">
        <v>177</v>
      </c>
      <c r="C125" t="s">
        <v>7</v>
      </c>
      <c r="E125" t="s">
        <v>206</v>
      </c>
      <c r="F125" s="1">
        <v>44420</v>
      </c>
      <c r="G125">
        <v>3300</v>
      </c>
      <c r="H125" t="s">
        <v>217</v>
      </c>
      <c r="K125" s="7">
        <f t="shared" si="3"/>
        <v>124</v>
      </c>
      <c r="L125" s="7">
        <f>_xlfn.XLOOKUP(E125,Plantas!$V$2:$V$96,Plantas!$U$2:$U$96,0,0)</f>
        <v>83</v>
      </c>
      <c r="M125" s="7" cm="1">
        <f t="array" ref="M125">_xlfn.XLOOKUP(C125,_xlfn.ANCHORARRAY($B$213),$A$213:$A$220,0,0)</f>
        <v>7</v>
      </c>
      <c r="N125" s="7">
        <f>_xlfn.XLOOKUP(H125,Unidades!$C$3:$C$8,Unidades!$B$3:$B$8,0,0)</f>
        <v>3</v>
      </c>
      <c r="O125" s="140" t="str">
        <f t="shared" si="2"/>
        <v>INSERT INTO Operacao(OperacaoID, CulturaID, ParcelaID, TipoOperacaoID, DataRealizacao, Quantidade, UnidadeID) VALUES (124, 83, 101, 7,TO_DATE('12/08/2021','dd/mm/yyyy'), 3300, 3);</v>
      </c>
      <c r="P125" s="140"/>
      <c r="Q125" s="140"/>
      <c r="R125" s="140"/>
      <c r="S125" s="140"/>
      <c r="T125" s="140"/>
      <c r="U125" s="140"/>
      <c r="V125" s="140"/>
      <c r="W125" s="140"/>
      <c r="X125" s="140"/>
      <c r="Y125" s="140"/>
      <c r="Z125" s="140"/>
      <c r="AA125" s="140"/>
    </row>
    <row r="126" spans="1:27" x14ac:dyDescent="0.25">
      <c r="A126" s="7">
        <v>106</v>
      </c>
      <c r="B126" t="s">
        <v>219</v>
      </c>
      <c r="C126" t="s">
        <v>190</v>
      </c>
      <c r="E126" t="s">
        <v>253</v>
      </c>
      <c r="F126" s="1">
        <v>44425</v>
      </c>
      <c r="G126">
        <v>3</v>
      </c>
      <c r="H126" t="s">
        <v>192</v>
      </c>
      <c r="K126" s="7">
        <f t="shared" si="3"/>
        <v>125</v>
      </c>
      <c r="L126" s="7">
        <f>_xlfn.XLOOKUP(E126,Plantas!$V$2:$V$96,Plantas!$U$2:$U$96,0,0)</f>
        <v>75</v>
      </c>
      <c r="M126" s="7" cm="1">
        <f t="array" ref="M126">_xlfn.XLOOKUP(C126,_xlfn.ANCHORARRAY($B$213),$A$213:$A$220,0,0)</f>
        <v>2</v>
      </c>
      <c r="N126" s="7">
        <f>_xlfn.XLOOKUP(H126,Unidades!$C$3:$C$8,Unidades!$B$3:$B$8,0,0)</f>
        <v>2</v>
      </c>
      <c r="O126" s="140" t="str">
        <f t="shared" si="2"/>
        <v>INSERT INTO Operacao(OperacaoID, CulturaID, ParcelaID, TipoOperacaoID, DataRealizacao, Quantidade, UnidadeID) VALUES (125, 75, 106, 2,TO_DATE('17/08/2021','dd/mm/yyyy'), 3, 2);</v>
      </c>
      <c r="P126" s="140"/>
      <c r="Q126" s="140"/>
      <c r="R126" s="140"/>
      <c r="S126" s="140"/>
      <c r="T126" s="140"/>
      <c r="U126" s="140"/>
      <c r="V126" s="140"/>
      <c r="W126" s="140"/>
      <c r="X126" s="140"/>
      <c r="Y126" s="140"/>
      <c r="Z126" s="140"/>
      <c r="AA126" s="140"/>
    </row>
    <row r="127" spans="1:27" x14ac:dyDescent="0.25">
      <c r="A127" s="7">
        <v>104</v>
      </c>
      <c r="B127" t="s">
        <v>181</v>
      </c>
      <c r="C127" t="s">
        <v>7</v>
      </c>
      <c r="E127" t="s">
        <v>204</v>
      </c>
      <c r="F127" s="1">
        <v>44432</v>
      </c>
      <c r="G127">
        <v>900</v>
      </c>
      <c r="H127" t="s">
        <v>217</v>
      </c>
      <c r="K127" s="7">
        <f t="shared" si="3"/>
        <v>126</v>
      </c>
      <c r="L127" s="7">
        <f>_xlfn.XLOOKUP(E127,Plantas!$V$2:$V$96,Plantas!$U$2:$U$96,0,0)</f>
        <v>48</v>
      </c>
      <c r="M127" s="7" cm="1">
        <f t="array" ref="M127">_xlfn.XLOOKUP(C127,_xlfn.ANCHORARRAY($B$213),$A$213:$A$220,0,0)</f>
        <v>7</v>
      </c>
      <c r="N127" s="7">
        <f>_xlfn.XLOOKUP(H127,Unidades!$C$3:$C$8,Unidades!$B$3:$B$8,0,0)</f>
        <v>3</v>
      </c>
      <c r="O127" s="140" t="str">
        <f t="shared" si="2"/>
        <v>INSERT INTO Operacao(OperacaoID, CulturaID, ParcelaID, TipoOperacaoID, DataRealizacao, Quantidade, UnidadeID) VALUES (126, 48, 104, 7,TO_DATE('24/08/2021','dd/mm/yyyy'), 900, 3);</v>
      </c>
      <c r="P127" s="140"/>
      <c r="Q127" s="140"/>
      <c r="R127" s="140"/>
      <c r="S127" s="140"/>
      <c r="T127" s="140"/>
      <c r="U127" s="140"/>
      <c r="V127" s="140"/>
      <c r="W127" s="140"/>
      <c r="X127" s="140"/>
      <c r="Y127" s="140"/>
      <c r="Z127" s="140"/>
      <c r="AA127" s="140"/>
    </row>
    <row r="128" spans="1:27" x14ac:dyDescent="0.25">
      <c r="A128" s="7">
        <v>103</v>
      </c>
      <c r="B128" t="s">
        <v>180</v>
      </c>
      <c r="C128" t="s">
        <v>7</v>
      </c>
      <c r="E128" t="s">
        <v>238</v>
      </c>
      <c r="F128" s="1">
        <v>44433</v>
      </c>
      <c r="G128">
        <v>3300</v>
      </c>
      <c r="H128" t="s">
        <v>217</v>
      </c>
      <c r="K128" s="7">
        <f t="shared" si="3"/>
        <v>127</v>
      </c>
      <c r="L128" s="7">
        <f>_xlfn.XLOOKUP(E128,Plantas!$V$2:$V$96,Plantas!$U$2:$U$96,0,0)</f>
        <v>82</v>
      </c>
      <c r="M128" s="7" cm="1">
        <f t="array" ref="M128">_xlfn.XLOOKUP(C128,_xlfn.ANCHORARRAY($B$213),$A$213:$A$220,0,0)</f>
        <v>7</v>
      </c>
      <c r="N128" s="7">
        <f>_xlfn.XLOOKUP(H128,Unidades!$C$3:$C$8,Unidades!$B$3:$B$8,0,0)</f>
        <v>3</v>
      </c>
      <c r="O128" s="140" t="str">
        <f t="shared" si="2"/>
        <v>INSERT INTO Operacao(OperacaoID, CulturaID, ParcelaID, TipoOperacaoID, DataRealizacao, Quantidade, UnidadeID) VALUES (127, 82, 103, 7,TO_DATE('25/08/2021','dd/mm/yyyy'), 3300, 3);</v>
      </c>
      <c r="P128" s="140"/>
      <c r="Q128" s="140"/>
      <c r="R128" s="140"/>
      <c r="S128" s="140"/>
      <c r="T128" s="140"/>
      <c r="U128" s="140"/>
      <c r="V128" s="140"/>
      <c r="W128" s="140"/>
      <c r="X128" s="140"/>
      <c r="Y128" s="140"/>
      <c r="Z128" s="140"/>
      <c r="AA128" s="140"/>
    </row>
    <row r="129" spans="1:27" x14ac:dyDescent="0.25">
      <c r="A129" s="7">
        <v>106</v>
      </c>
      <c r="B129" t="s">
        <v>219</v>
      </c>
      <c r="C129" t="s">
        <v>7</v>
      </c>
      <c r="E129" t="s">
        <v>253</v>
      </c>
      <c r="F129" s="1">
        <v>44436</v>
      </c>
      <c r="G129">
        <v>600</v>
      </c>
      <c r="H129" t="s">
        <v>217</v>
      </c>
      <c r="K129" s="7">
        <f t="shared" si="3"/>
        <v>128</v>
      </c>
      <c r="L129" s="7">
        <f>_xlfn.XLOOKUP(E129,Plantas!$V$2:$V$96,Plantas!$U$2:$U$96,0,0)</f>
        <v>75</v>
      </c>
      <c r="M129" s="7" cm="1">
        <f t="array" ref="M129">_xlfn.XLOOKUP(C129,_xlfn.ANCHORARRAY($B$213),$A$213:$A$220,0,0)</f>
        <v>7</v>
      </c>
      <c r="N129" s="7">
        <f>_xlfn.XLOOKUP(H129,Unidades!$C$3:$C$8,Unidades!$B$3:$B$8,0,0)</f>
        <v>3</v>
      </c>
      <c r="O129" s="140" t="str">
        <f t="shared" si="2"/>
        <v>INSERT INTO Operacao(OperacaoID, CulturaID, ParcelaID, TipoOperacaoID, DataRealizacao, Quantidade, UnidadeID) VALUES (128, 75, 106, 7,TO_DATE('28/08/2021','dd/mm/yyyy'), 600, 3);</v>
      </c>
      <c r="P129" s="140"/>
      <c r="Q129" s="140"/>
      <c r="R129" s="140"/>
      <c r="S129" s="140"/>
      <c r="T129" s="140"/>
      <c r="U129" s="140"/>
      <c r="V129" s="140"/>
      <c r="W129" s="140"/>
      <c r="X129" s="140"/>
      <c r="Y129" s="140"/>
      <c r="Z129" s="140"/>
      <c r="AA129" s="140"/>
    </row>
    <row r="130" spans="1:27" x14ac:dyDescent="0.25">
      <c r="A130" s="7">
        <v>104</v>
      </c>
      <c r="B130" t="s">
        <v>181</v>
      </c>
      <c r="C130" t="s">
        <v>7</v>
      </c>
      <c r="E130" t="s">
        <v>204</v>
      </c>
      <c r="F130" s="1">
        <v>44444</v>
      </c>
      <c r="G130">
        <v>800</v>
      </c>
      <c r="H130" t="s">
        <v>217</v>
      </c>
      <c r="K130" s="7">
        <f t="shared" si="3"/>
        <v>129</v>
      </c>
      <c r="L130" s="7">
        <f>_xlfn.XLOOKUP(E130,Plantas!$V$2:$V$96,Plantas!$U$2:$U$96,0,0)</f>
        <v>48</v>
      </c>
      <c r="M130" s="7" cm="1">
        <f t="array" ref="M130">_xlfn.XLOOKUP(C130,_xlfn.ANCHORARRAY($B$213),$A$213:$A$220,0,0)</f>
        <v>7</v>
      </c>
      <c r="N130" s="7">
        <f>_xlfn.XLOOKUP(H130,Unidades!$C$3:$C$8,Unidades!$B$3:$B$8,0,0)</f>
        <v>3</v>
      </c>
      <c r="O130" s="140" t="str">
        <f t="shared" si="2"/>
        <v>INSERT INTO Operacao(OperacaoID, CulturaID, ParcelaID, TipoOperacaoID, DataRealizacao, Quantidade, UnidadeID) VALUES (129, 48, 104, 7,TO_DATE('05/09/2021','dd/mm/yyyy'), 800, 3);</v>
      </c>
      <c r="P130" s="140"/>
      <c r="Q130" s="140"/>
      <c r="R130" s="140"/>
      <c r="S130" s="140"/>
      <c r="T130" s="140"/>
      <c r="U130" s="140"/>
      <c r="V130" s="140"/>
      <c r="W130" s="140"/>
      <c r="X130" s="140"/>
      <c r="Y130" s="140"/>
      <c r="Z130" s="140"/>
      <c r="AA130" s="140"/>
    </row>
    <row r="131" spans="1:27" x14ac:dyDescent="0.25">
      <c r="A131" s="7">
        <v>106</v>
      </c>
      <c r="B131" t="s">
        <v>219</v>
      </c>
      <c r="C131" t="s">
        <v>7</v>
      </c>
      <c r="E131" t="s">
        <v>253</v>
      </c>
      <c r="F131" s="1">
        <v>44446</v>
      </c>
      <c r="G131">
        <v>1800</v>
      </c>
      <c r="H131" t="s">
        <v>217</v>
      </c>
      <c r="K131" s="7">
        <f t="shared" si="3"/>
        <v>130</v>
      </c>
      <c r="L131" s="7">
        <f>_xlfn.XLOOKUP(E131,Plantas!$V$2:$V$96,Plantas!$U$2:$U$96,0,0)</f>
        <v>75</v>
      </c>
      <c r="M131" s="7" cm="1">
        <f t="array" ref="M131">_xlfn.XLOOKUP(C131,_xlfn.ANCHORARRAY($B$213),$A$213:$A$220,0,0)</f>
        <v>7</v>
      </c>
      <c r="N131" s="7">
        <f>_xlfn.XLOOKUP(H131,Unidades!$C$3:$C$8,Unidades!$B$3:$B$8,0,0)</f>
        <v>3</v>
      </c>
      <c r="O131" s="140" t="str">
        <f t="shared" ref="O131:O194" si="4">"INSERT INTO Operacao(OperacaoID, CulturaID, ParcelaID, TipoOperacaoID, DataRealizacao, Quantidade, UnidadeID) VALUES ("&amp;K131&amp;", "&amp;L131&amp;", "&amp;A131&amp;", "&amp;M131&amp;",TO_DATE('"&amp;TEXT(F131,"dd/mm/aaaa")&amp;"','dd/mm/yyyy'), "&amp;SUBSTITUTE(G131,",",".")&amp;", "&amp;N131&amp;");"</f>
        <v>INSERT INTO Operacao(OperacaoID, CulturaID, ParcelaID, TipoOperacaoID, DataRealizacao, Quantidade, UnidadeID) VALUES (130, 75, 106, 7,TO_DATE('07/09/2021','dd/mm/yyyy'), 1800, 3);</v>
      </c>
      <c r="P131" s="140"/>
      <c r="Q131" s="140"/>
      <c r="R131" s="140"/>
      <c r="S131" s="140"/>
      <c r="T131" s="140"/>
      <c r="U131" s="140"/>
      <c r="V131" s="140"/>
      <c r="W131" s="140"/>
      <c r="X131" s="140"/>
      <c r="Y131" s="140"/>
      <c r="Z131" s="140"/>
      <c r="AA131" s="140"/>
    </row>
    <row r="132" spans="1:27" x14ac:dyDescent="0.25">
      <c r="A132" s="7">
        <v>104</v>
      </c>
      <c r="B132" t="s">
        <v>181</v>
      </c>
      <c r="C132" t="s">
        <v>7</v>
      </c>
      <c r="E132" t="s">
        <v>202</v>
      </c>
      <c r="F132" s="1">
        <v>44451</v>
      </c>
      <c r="G132">
        <v>800</v>
      </c>
      <c r="H132" t="s">
        <v>217</v>
      </c>
      <c r="K132" s="7">
        <f t="shared" ref="K132:K195" si="5">K131+1</f>
        <v>131</v>
      </c>
      <c r="L132" s="7">
        <f>_xlfn.XLOOKUP(E132,Plantas!$V$2:$V$96,Plantas!$U$2:$U$96,0,0)</f>
        <v>41</v>
      </c>
      <c r="M132" s="7" cm="1">
        <f t="array" ref="M132">_xlfn.XLOOKUP(C132,_xlfn.ANCHORARRAY($B$213),$A$213:$A$220,0,0)</f>
        <v>7</v>
      </c>
      <c r="N132" s="7">
        <f>_xlfn.XLOOKUP(H132,Unidades!$C$3:$C$8,Unidades!$B$3:$B$8,0,0)</f>
        <v>3</v>
      </c>
      <c r="O132" s="140" t="str">
        <f t="shared" si="4"/>
        <v>INSERT INTO Operacao(OperacaoID, CulturaID, ParcelaID, TipoOperacaoID, DataRealizacao, Quantidade, UnidadeID) VALUES (131, 41, 104, 7,TO_DATE('12/09/2021','dd/mm/yyyy'), 800, 3);</v>
      </c>
      <c r="P132" s="140"/>
      <c r="Q132" s="140"/>
      <c r="R132" s="140"/>
      <c r="S132" s="140"/>
      <c r="T132" s="140"/>
      <c r="U132" s="140"/>
      <c r="V132" s="140"/>
      <c r="W132" s="140"/>
      <c r="X132" s="140"/>
      <c r="Y132" s="140"/>
      <c r="Z132" s="140"/>
      <c r="AA132" s="140"/>
    </row>
    <row r="133" spans="1:27" x14ac:dyDescent="0.25">
      <c r="A133" s="7">
        <v>106</v>
      </c>
      <c r="B133" t="s">
        <v>219</v>
      </c>
      <c r="C133" t="s">
        <v>213</v>
      </c>
      <c r="E133" t="s">
        <v>226</v>
      </c>
      <c r="F133" s="1">
        <v>44459</v>
      </c>
      <c r="G133">
        <v>0.6</v>
      </c>
      <c r="H133" t="s">
        <v>217</v>
      </c>
      <c r="K133" s="7">
        <f t="shared" si="5"/>
        <v>132</v>
      </c>
      <c r="L133" s="7">
        <f>_xlfn.XLOOKUP(E133,Plantas!$V$2:$V$96,Plantas!$U$2:$U$96,0,0)</f>
        <v>93</v>
      </c>
      <c r="M133" s="7" cm="1">
        <f t="array" ref="M133">_xlfn.XLOOKUP(C133,_xlfn.ANCHORARRAY($B$213),$A$213:$A$220,0,0)</f>
        <v>6</v>
      </c>
      <c r="N133" s="7">
        <f>_xlfn.XLOOKUP(H133,Unidades!$C$3:$C$8,Unidades!$B$3:$B$8,0,0)</f>
        <v>3</v>
      </c>
      <c r="O133" s="140" t="str">
        <f t="shared" si="4"/>
        <v>INSERT INTO Operacao(OperacaoID, CulturaID, ParcelaID, TipoOperacaoID, DataRealizacao, Quantidade, UnidadeID) VALUES (132, 93, 106, 6,TO_DATE('20/09/2021','dd/mm/yyyy'), 0.6, 3);</v>
      </c>
      <c r="P133" s="140"/>
      <c r="Q133" s="140"/>
      <c r="R133" s="140"/>
      <c r="S133" s="140"/>
      <c r="T133" s="140"/>
      <c r="U133" s="140"/>
      <c r="V133" s="140"/>
      <c r="W133" s="140"/>
      <c r="X133" s="140"/>
      <c r="Y133" s="140"/>
      <c r="Z133" s="140"/>
      <c r="AA133" s="140"/>
    </row>
    <row r="134" spans="1:27" x14ac:dyDescent="0.25">
      <c r="A134" s="7">
        <v>104</v>
      </c>
      <c r="B134" t="s">
        <v>181</v>
      </c>
      <c r="C134" t="s">
        <v>7</v>
      </c>
      <c r="E134" t="s">
        <v>202</v>
      </c>
      <c r="F134" s="1">
        <v>44462</v>
      </c>
      <c r="G134">
        <v>1200</v>
      </c>
      <c r="H134" t="s">
        <v>217</v>
      </c>
      <c r="K134" s="7">
        <f t="shared" si="5"/>
        <v>133</v>
      </c>
      <c r="L134" s="7">
        <f>_xlfn.XLOOKUP(E134,Plantas!$V$2:$V$96,Plantas!$U$2:$U$96,0,0)</f>
        <v>41</v>
      </c>
      <c r="M134" s="7" cm="1">
        <f t="array" ref="M134">_xlfn.XLOOKUP(C134,_xlfn.ANCHORARRAY($B$213),$A$213:$A$220,0,0)</f>
        <v>7</v>
      </c>
      <c r="N134" s="7">
        <f>_xlfn.XLOOKUP(H134,Unidades!$C$3:$C$8,Unidades!$B$3:$B$8,0,0)</f>
        <v>3</v>
      </c>
      <c r="O134" s="140" t="str">
        <f t="shared" si="4"/>
        <v>INSERT INTO Operacao(OperacaoID, CulturaID, ParcelaID, TipoOperacaoID, DataRealizacao, Quantidade, UnidadeID) VALUES (133, 41, 104, 7,TO_DATE('23/09/2021','dd/mm/yyyy'), 1200, 3);</v>
      </c>
      <c r="P134" s="140"/>
      <c r="Q134" s="140"/>
      <c r="R134" s="140"/>
      <c r="S134" s="140"/>
      <c r="T134" s="140"/>
      <c r="U134" s="140"/>
      <c r="V134" s="140"/>
      <c r="W134" s="140"/>
      <c r="X134" s="140"/>
      <c r="Y134" s="140"/>
      <c r="Z134" s="140"/>
      <c r="AA134" s="140"/>
    </row>
    <row r="135" spans="1:27" x14ac:dyDescent="0.25">
      <c r="A135" s="7">
        <v>101</v>
      </c>
      <c r="B135" t="s">
        <v>177</v>
      </c>
      <c r="C135" t="s">
        <v>213</v>
      </c>
      <c r="E135" t="s">
        <v>205</v>
      </c>
      <c r="F135" s="1">
        <v>44472</v>
      </c>
      <c r="G135">
        <v>36</v>
      </c>
      <c r="K135" s="7">
        <f t="shared" si="5"/>
        <v>134</v>
      </c>
      <c r="L135" s="7">
        <f>_xlfn.XLOOKUP(E135,Plantas!$V$2:$V$96,Plantas!$U$2:$U$96,0,0)</f>
        <v>80</v>
      </c>
      <c r="M135" s="7" cm="1">
        <f t="array" ref="M135">_xlfn.XLOOKUP(C135,_xlfn.ANCHORARRAY($B$213),$A$213:$A$220,0,0)</f>
        <v>6</v>
      </c>
      <c r="N135" s="7">
        <f>_xlfn.XLOOKUP(H135,Unidades!$C$3:$C$8,Unidades!$B$3:$B$8,0,0)</f>
        <v>0</v>
      </c>
      <c r="O135" s="140" t="str">
        <f t="shared" si="4"/>
        <v>INSERT INTO Operacao(OperacaoID, CulturaID, ParcelaID, TipoOperacaoID, DataRealizacao, Quantidade, UnidadeID) VALUES (134, 80, 101, 6,TO_DATE('03/10/2021','dd/mm/yyyy'), 36, 0);</v>
      </c>
      <c r="P135" s="140"/>
      <c r="Q135" s="140"/>
      <c r="R135" s="140"/>
      <c r="S135" s="140"/>
      <c r="T135" s="140"/>
      <c r="U135" s="140"/>
      <c r="V135" s="140"/>
      <c r="W135" s="140"/>
      <c r="X135" s="140"/>
      <c r="Y135" s="140"/>
      <c r="Z135" s="140"/>
      <c r="AA135" s="140"/>
    </row>
    <row r="136" spans="1:27" x14ac:dyDescent="0.25">
      <c r="A136" s="7">
        <v>103</v>
      </c>
      <c r="B136" t="s">
        <v>180</v>
      </c>
      <c r="C136" t="s">
        <v>213</v>
      </c>
      <c r="E136" t="s">
        <v>205</v>
      </c>
      <c r="F136" s="1">
        <v>44475</v>
      </c>
      <c r="G136">
        <v>1.3</v>
      </c>
      <c r="H136" t="s">
        <v>178</v>
      </c>
      <c r="K136" s="7">
        <f t="shared" si="5"/>
        <v>135</v>
      </c>
      <c r="L136" s="7">
        <f>_xlfn.XLOOKUP(E136,Plantas!$V$2:$V$96,Plantas!$U$2:$U$96,0,0)</f>
        <v>80</v>
      </c>
      <c r="M136" s="7" cm="1">
        <f t="array" ref="M136">_xlfn.XLOOKUP(C136,_xlfn.ANCHORARRAY($B$213),$A$213:$A$220,0,0)</f>
        <v>6</v>
      </c>
      <c r="N136" s="7">
        <f>_xlfn.XLOOKUP(H136,Unidades!$C$3:$C$8,Unidades!$B$3:$B$8,0,0)</f>
        <v>4</v>
      </c>
      <c r="O136" s="140" t="str">
        <f t="shared" si="4"/>
        <v>INSERT INTO Operacao(OperacaoID, CulturaID, ParcelaID, TipoOperacaoID, DataRealizacao, Quantidade, UnidadeID) VALUES (135, 80, 103, 6,TO_DATE('06/10/2021','dd/mm/yyyy'), 1.3, 4);</v>
      </c>
      <c r="P136" s="140"/>
      <c r="Q136" s="140"/>
      <c r="R136" s="140"/>
      <c r="S136" s="140"/>
      <c r="T136" s="140"/>
      <c r="U136" s="140"/>
      <c r="V136" s="140"/>
      <c r="W136" s="140"/>
      <c r="X136" s="140"/>
      <c r="Y136" s="140"/>
      <c r="Z136" s="140"/>
      <c r="AA136" s="140"/>
    </row>
    <row r="137" spans="1:27" x14ac:dyDescent="0.25">
      <c r="A137" s="7">
        <v>104</v>
      </c>
      <c r="B137" t="s">
        <v>181</v>
      </c>
      <c r="C137" t="s">
        <v>7</v>
      </c>
      <c r="E137" t="s">
        <v>203</v>
      </c>
      <c r="F137" s="1">
        <v>44481</v>
      </c>
      <c r="G137">
        <v>950</v>
      </c>
      <c r="H137" t="s">
        <v>217</v>
      </c>
      <c r="K137" s="7">
        <f t="shared" si="5"/>
        <v>136</v>
      </c>
      <c r="L137" s="7">
        <f>_xlfn.XLOOKUP(E137,Plantas!$V$2:$V$96,Plantas!$U$2:$U$96,0,0)</f>
        <v>37</v>
      </c>
      <c r="M137" s="7" cm="1">
        <f t="array" ref="M137">_xlfn.XLOOKUP(C137,_xlfn.ANCHORARRAY($B$213),$A$213:$A$220,0,0)</f>
        <v>7</v>
      </c>
      <c r="N137" s="7">
        <f>_xlfn.XLOOKUP(H137,Unidades!$C$3:$C$8,Unidades!$B$3:$B$8,0,0)</f>
        <v>3</v>
      </c>
      <c r="O137" s="140" t="str">
        <f t="shared" si="4"/>
        <v>INSERT INTO Operacao(OperacaoID, CulturaID, ParcelaID, TipoOperacaoID, DataRealizacao, Quantidade, UnidadeID) VALUES (136, 37, 104, 7,TO_DATE('12/10/2021','dd/mm/yyyy'), 950, 3);</v>
      </c>
      <c r="P137" s="140"/>
      <c r="Q137" s="140"/>
      <c r="R137" s="140"/>
      <c r="S137" s="140"/>
      <c r="T137" s="140"/>
      <c r="U137" s="140"/>
      <c r="V137" s="140"/>
      <c r="W137" s="140"/>
      <c r="X137" s="140"/>
      <c r="Y137" s="140"/>
      <c r="Z137" s="140"/>
      <c r="AA137" s="140"/>
    </row>
    <row r="138" spans="1:27" x14ac:dyDescent="0.25">
      <c r="A138" s="7">
        <v>104</v>
      </c>
      <c r="B138" t="s">
        <v>181</v>
      </c>
      <c r="C138" t="s">
        <v>7</v>
      </c>
      <c r="E138" t="s">
        <v>203</v>
      </c>
      <c r="F138" s="1">
        <v>44503</v>
      </c>
      <c r="G138">
        <v>750</v>
      </c>
      <c r="H138" t="s">
        <v>217</v>
      </c>
      <c r="K138" s="7">
        <f t="shared" si="5"/>
        <v>137</v>
      </c>
      <c r="L138" s="7">
        <f>_xlfn.XLOOKUP(E138,Plantas!$V$2:$V$96,Plantas!$U$2:$U$96,0,0)</f>
        <v>37</v>
      </c>
      <c r="M138" s="7" cm="1">
        <f t="array" ref="M138">_xlfn.XLOOKUP(C138,_xlfn.ANCHORARRAY($B$213),$A$213:$A$220,0,0)</f>
        <v>7</v>
      </c>
      <c r="N138" s="7">
        <f>_xlfn.XLOOKUP(H138,Unidades!$C$3:$C$8,Unidades!$B$3:$B$8,0,0)</f>
        <v>3</v>
      </c>
      <c r="O138" s="140" t="str">
        <f t="shared" si="4"/>
        <v>INSERT INTO Operacao(OperacaoID, CulturaID, ParcelaID, TipoOperacaoID, DataRealizacao, Quantidade, UnidadeID) VALUES (137, 37, 104, 7,TO_DATE('03/11/2021','dd/mm/yyyy'), 750, 3);</v>
      </c>
      <c r="P138" s="140"/>
      <c r="Q138" s="140"/>
      <c r="R138" s="140"/>
      <c r="S138" s="140"/>
      <c r="T138" s="140"/>
      <c r="U138" s="140"/>
      <c r="V138" s="140"/>
      <c r="W138" s="140"/>
      <c r="X138" s="140"/>
      <c r="Y138" s="140"/>
      <c r="Z138" s="140"/>
      <c r="AA138" s="140"/>
    </row>
    <row r="139" spans="1:27" x14ac:dyDescent="0.25">
      <c r="A139" s="7">
        <v>102</v>
      </c>
      <c r="B139" t="s">
        <v>198</v>
      </c>
      <c r="C139" t="s">
        <v>7</v>
      </c>
      <c r="E139" t="s">
        <v>199</v>
      </c>
      <c r="F139" s="1">
        <v>44510</v>
      </c>
      <c r="G139">
        <v>210</v>
      </c>
      <c r="H139" t="s">
        <v>217</v>
      </c>
      <c r="K139" s="7">
        <f t="shared" si="5"/>
        <v>138</v>
      </c>
      <c r="L139" s="7">
        <f>_xlfn.XLOOKUP(E139,Plantas!$V$2:$V$96,Plantas!$U$2:$U$96,0,0)</f>
        <v>92</v>
      </c>
      <c r="M139" s="7" cm="1">
        <f t="array" ref="M139">_xlfn.XLOOKUP(C139,_xlfn.ANCHORARRAY($B$213),$A$213:$A$220,0,0)</f>
        <v>7</v>
      </c>
      <c r="N139" s="7">
        <f>_xlfn.XLOOKUP(H139,Unidades!$C$3:$C$8,Unidades!$B$3:$B$8,0,0)</f>
        <v>3</v>
      </c>
      <c r="O139" s="140" t="str">
        <f t="shared" si="4"/>
        <v>INSERT INTO Operacao(OperacaoID, CulturaID, ParcelaID, TipoOperacaoID, DataRealizacao, Quantidade, UnidadeID) VALUES (138, 92, 102, 7,TO_DATE('10/11/2021','dd/mm/yyyy'), 210, 3);</v>
      </c>
      <c r="P139" s="140"/>
      <c r="Q139" s="140"/>
      <c r="R139" s="140"/>
      <c r="S139" s="140"/>
      <c r="T139" s="140"/>
      <c r="U139" s="140"/>
      <c r="V139" s="140"/>
      <c r="W139" s="140"/>
      <c r="X139" s="140"/>
      <c r="Y139" s="140"/>
      <c r="Z139" s="140"/>
      <c r="AA139" s="140"/>
    </row>
    <row r="140" spans="1:27" x14ac:dyDescent="0.25">
      <c r="A140" s="7">
        <v>102</v>
      </c>
      <c r="B140" t="s">
        <v>198</v>
      </c>
      <c r="C140" t="s">
        <v>7</v>
      </c>
      <c r="E140" t="s">
        <v>201</v>
      </c>
      <c r="F140" s="1">
        <v>44510</v>
      </c>
      <c r="G140">
        <v>120</v>
      </c>
      <c r="H140" t="s">
        <v>217</v>
      </c>
      <c r="K140" s="7">
        <f t="shared" si="5"/>
        <v>139</v>
      </c>
      <c r="L140" s="7">
        <f>_xlfn.XLOOKUP(E140,Plantas!$V$2:$V$96,Plantas!$U$2:$U$96,0,0)</f>
        <v>89</v>
      </c>
      <c r="M140" s="7" cm="1">
        <f t="array" ref="M140">_xlfn.XLOOKUP(C140,_xlfn.ANCHORARRAY($B$213),$A$213:$A$220,0,0)</f>
        <v>7</v>
      </c>
      <c r="N140" s="7">
        <f>_xlfn.XLOOKUP(H140,Unidades!$C$3:$C$8,Unidades!$B$3:$B$8,0,0)</f>
        <v>3</v>
      </c>
      <c r="O140" s="140" t="str">
        <f t="shared" si="4"/>
        <v>INSERT INTO Operacao(OperacaoID, CulturaID, ParcelaID, TipoOperacaoID, DataRealizacao, Quantidade, UnidadeID) VALUES (139, 89, 102, 7,TO_DATE('10/11/2021','dd/mm/yyyy'), 120, 3);</v>
      </c>
      <c r="P140" s="140"/>
      <c r="Q140" s="140"/>
      <c r="R140" s="140"/>
      <c r="S140" s="140"/>
      <c r="T140" s="140"/>
      <c r="U140" s="140"/>
      <c r="V140" s="140"/>
      <c r="W140" s="140"/>
      <c r="X140" s="140"/>
      <c r="Y140" s="140"/>
      <c r="Z140" s="140"/>
      <c r="AA140" s="140"/>
    </row>
    <row r="141" spans="1:27" x14ac:dyDescent="0.25">
      <c r="A141" s="7">
        <v>106</v>
      </c>
      <c r="B141" t="s">
        <v>219</v>
      </c>
      <c r="C141" t="s">
        <v>7</v>
      </c>
      <c r="E141" t="s">
        <v>226</v>
      </c>
      <c r="F141" s="1">
        <v>44515</v>
      </c>
      <c r="G141">
        <v>600</v>
      </c>
      <c r="H141" t="s">
        <v>217</v>
      </c>
      <c r="K141" s="7">
        <f t="shared" si="5"/>
        <v>140</v>
      </c>
      <c r="L141" s="7">
        <f>_xlfn.XLOOKUP(E141,Plantas!$V$2:$V$96,Plantas!$U$2:$U$96,0,0)</f>
        <v>93</v>
      </c>
      <c r="M141" s="7" cm="1">
        <f t="array" ref="M141">_xlfn.XLOOKUP(C141,_xlfn.ANCHORARRAY($B$213),$A$213:$A$220,0,0)</f>
        <v>7</v>
      </c>
      <c r="N141" s="7">
        <f>_xlfn.XLOOKUP(H141,Unidades!$C$3:$C$8,Unidades!$B$3:$B$8,0,0)</f>
        <v>3</v>
      </c>
      <c r="O141" s="140" t="str">
        <f t="shared" si="4"/>
        <v>INSERT INTO Operacao(OperacaoID, CulturaID, ParcelaID, TipoOperacaoID, DataRealizacao, Quantidade, UnidadeID) VALUES (140, 93, 106, 7,TO_DATE('15/11/2021','dd/mm/yyyy'), 600, 3);</v>
      </c>
      <c r="P141" s="140"/>
      <c r="Q141" s="140"/>
      <c r="R141" s="140"/>
      <c r="S141" s="140"/>
      <c r="T141" s="140"/>
      <c r="U141" s="140"/>
      <c r="V141" s="140"/>
      <c r="W141" s="140"/>
      <c r="X141" s="140"/>
      <c r="Y141" s="140"/>
      <c r="Z141" s="140"/>
      <c r="AA141" s="140"/>
    </row>
    <row r="142" spans="1:27" x14ac:dyDescent="0.25">
      <c r="A142" s="7">
        <v>102</v>
      </c>
      <c r="B142" t="s">
        <v>198</v>
      </c>
      <c r="C142" t="s">
        <v>5</v>
      </c>
      <c r="E142" t="s">
        <v>199</v>
      </c>
      <c r="F142" s="1">
        <v>44517</v>
      </c>
      <c r="G142">
        <v>30</v>
      </c>
      <c r="H142" t="s">
        <v>200</v>
      </c>
      <c r="K142" s="7">
        <f t="shared" si="5"/>
        <v>141</v>
      </c>
      <c r="L142" s="7">
        <f>_xlfn.XLOOKUP(E142,Plantas!$V$2:$V$96,Plantas!$U$2:$U$96,0,0)</f>
        <v>92</v>
      </c>
      <c r="M142" s="7" cm="1">
        <f t="array" ref="M142">_xlfn.XLOOKUP(C142,_xlfn.ANCHORARRAY($B$213),$A$213:$A$220,0,0)</f>
        <v>3</v>
      </c>
      <c r="N142" s="7">
        <f>_xlfn.XLOOKUP(H142,Unidades!$C$3:$C$8,Unidades!$B$3:$B$8,0,0)</f>
        <v>1</v>
      </c>
      <c r="O142" s="140" t="str">
        <f t="shared" si="4"/>
        <v>INSERT INTO Operacao(OperacaoID, CulturaID, ParcelaID, TipoOperacaoID, DataRealizacao, Quantidade, UnidadeID) VALUES (141, 92, 102, 3,TO_DATE('17/11/2021','dd/mm/yyyy'), 30, 1);</v>
      </c>
      <c r="P142" s="140"/>
      <c r="Q142" s="140"/>
      <c r="R142" s="140"/>
      <c r="S142" s="140"/>
      <c r="T142" s="140"/>
      <c r="U142" s="140"/>
      <c r="V142" s="140"/>
      <c r="W142" s="140"/>
      <c r="X142" s="140"/>
      <c r="Y142" s="140"/>
      <c r="Z142" s="140"/>
      <c r="AA142" s="140"/>
    </row>
    <row r="143" spans="1:27" x14ac:dyDescent="0.25">
      <c r="A143" s="7">
        <v>102</v>
      </c>
      <c r="B143" t="s">
        <v>198</v>
      </c>
      <c r="C143" t="s">
        <v>5</v>
      </c>
      <c r="E143" t="s">
        <v>201</v>
      </c>
      <c r="F143" s="1">
        <v>44517</v>
      </c>
      <c r="G143">
        <v>20</v>
      </c>
      <c r="H143" t="s">
        <v>200</v>
      </c>
      <c r="K143" s="7">
        <f t="shared" si="5"/>
        <v>142</v>
      </c>
      <c r="L143" s="7">
        <f>_xlfn.XLOOKUP(E143,Plantas!$V$2:$V$96,Plantas!$U$2:$U$96,0,0)</f>
        <v>89</v>
      </c>
      <c r="M143" s="7" cm="1">
        <f t="array" ref="M143">_xlfn.XLOOKUP(C143,_xlfn.ANCHORARRAY($B$213),$A$213:$A$220,0,0)</f>
        <v>3</v>
      </c>
      <c r="N143" s="7">
        <f>_xlfn.XLOOKUP(H143,Unidades!$C$3:$C$8,Unidades!$B$3:$B$8,0,0)</f>
        <v>1</v>
      </c>
      <c r="O143" s="140" t="str">
        <f t="shared" si="4"/>
        <v>INSERT INTO Operacao(OperacaoID, CulturaID, ParcelaID, TipoOperacaoID, DataRealizacao, Quantidade, UnidadeID) VALUES (142, 89, 102, 3,TO_DATE('17/11/2021','dd/mm/yyyy'), 20, 1);</v>
      </c>
      <c r="P143" s="140"/>
      <c r="Q143" s="140"/>
      <c r="R143" s="140"/>
      <c r="S143" s="140"/>
      <c r="T143" s="140"/>
      <c r="U143" s="140"/>
      <c r="V143" s="140"/>
      <c r="W143" s="140"/>
      <c r="X143" s="140"/>
      <c r="Y143" s="140"/>
      <c r="Z143" s="140"/>
      <c r="AA143" s="140"/>
    </row>
    <row r="144" spans="1:27" x14ac:dyDescent="0.25">
      <c r="A144" s="7">
        <v>104</v>
      </c>
      <c r="B144" t="s">
        <v>181</v>
      </c>
      <c r="C144" t="s">
        <v>5</v>
      </c>
      <c r="E144" t="s">
        <v>204</v>
      </c>
      <c r="F144" s="1">
        <v>44528</v>
      </c>
      <c r="G144">
        <v>70</v>
      </c>
      <c r="H144" t="s">
        <v>200</v>
      </c>
      <c r="K144" s="7">
        <f t="shared" si="5"/>
        <v>143</v>
      </c>
      <c r="L144" s="7">
        <f>_xlfn.XLOOKUP(E144,Plantas!$V$2:$V$96,Plantas!$U$2:$U$96,0,0)</f>
        <v>48</v>
      </c>
      <c r="M144" s="7" cm="1">
        <f t="array" ref="M144">_xlfn.XLOOKUP(C144,_xlfn.ANCHORARRAY($B$213),$A$213:$A$220,0,0)</f>
        <v>3</v>
      </c>
      <c r="N144" s="7">
        <f>_xlfn.XLOOKUP(H144,Unidades!$C$3:$C$8,Unidades!$B$3:$B$8,0,0)</f>
        <v>1</v>
      </c>
      <c r="O144" s="140" t="str">
        <f t="shared" si="4"/>
        <v>INSERT INTO Operacao(OperacaoID, CulturaID, ParcelaID, TipoOperacaoID, DataRealizacao, Quantidade, UnidadeID) VALUES (143, 48, 104, 3,TO_DATE('28/11/2021','dd/mm/yyyy'), 70, 1);</v>
      </c>
      <c r="P144" s="140"/>
      <c r="Q144" s="140"/>
      <c r="R144" s="140"/>
      <c r="S144" s="140"/>
      <c r="T144" s="140"/>
      <c r="U144" s="140"/>
      <c r="V144" s="140"/>
      <c r="W144" s="140"/>
      <c r="X144" s="140"/>
      <c r="Y144" s="140"/>
      <c r="Z144" s="140"/>
      <c r="AA144" s="140"/>
    </row>
    <row r="145" spans="1:27" x14ac:dyDescent="0.25">
      <c r="A145" s="7">
        <v>104</v>
      </c>
      <c r="B145" t="s">
        <v>181</v>
      </c>
      <c r="C145" t="s">
        <v>5</v>
      </c>
      <c r="E145" t="s">
        <v>202</v>
      </c>
      <c r="F145" s="1">
        <v>44533</v>
      </c>
      <c r="G145">
        <v>90</v>
      </c>
      <c r="H145" t="s">
        <v>200</v>
      </c>
      <c r="K145" s="7">
        <f t="shared" si="5"/>
        <v>144</v>
      </c>
      <c r="L145" s="7">
        <f>_xlfn.XLOOKUP(E145,Plantas!$V$2:$V$96,Plantas!$U$2:$U$96,0,0)</f>
        <v>41</v>
      </c>
      <c r="M145" s="7" cm="1">
        <f t="array" ref="M145">_xlfn.XLOOKUP(C145,_xlfn.ANCHORARRAY($B$213),$A$213:$A$220,0,0)</f>
        <v>3</v>
      </c>
      <c r="N145" s="7">
        <f>_xlfn.XLOOKUP(H145,Unidades!$C$3:$C$8,Unidades!$B$3:$B$8,0,0)</f>
        <v>1</v>
      </c>
      <c r="O145" s="140" t="str">
        <f t="shared" si="4"/>
        <v>INSERT INTO Operacao(OperacaoID, CulturaID, ParcelaID, TipoOperacaoID, DataRealizacao, Quantidade, UnidadeID) VALUES (144, 41, 104, 3,TO_DATE('03/12/2021','dd/mm/yyyy'), 90, 1);</v>
      </c>
      <c r="P145" s="140"/>
      <c r="Q145" s="140"/>
      <c r="R145" s="140"/>
      <c r="S145" s="140"/>
      <c r="T145" s="140"/>
      <c r="U145" s="140"/>
      <c r="V145" s="140"/>
      <c r="W145" s="140"/>
      <c r="X145" s="140"/>
      <c r="Y145" s="140"/>
      <c r="Z145" s="140"/>
      <c r="AA145" s="140"/>
    </row>
    <row r="146" spans="1:27" x14ac:dyDescent="0.25">
      <c r="A146" s="7">
        <v>107</v>
      </c>
      <c r="B146" t="s">
        <v>245</v>
      </c>
      <c r="C146" t="s">
        <v>5</v>
      </c>
      <c r="E146" t="s">
        <v>246</v>
      </c>
      <c r="F146" s="1">
        <v>44546</v>
      </c>
      <c r="G146">
        <v>500</v>
      </c>
      <c r="H146" t="s">
        <v>200</v>
      </c>
      <c r="K146" s="7">
        <f t="shared" si="5"/>
        <v>145</v>
      </c>
      <c r="L146" s="7">
        <f>_xlfn.XLOOKUP(E146,Plantas!$V$2:$V$96,Plantas!$U$2:$U$96,0,0)</f>
        <v>94</v>
      </c>
      <c r="M146" s="7" cm="1">
        <f t="array" ref="M146">_xlfn.XLOOKUP(C146,_xlfn.ANCHORARRAY($B$213),$A$213:$A$220,0,0)</f>
        <v>3</v>
      </c>
      <c r="N146" s="7">
        <f>_xlfn.XLOOKUP(H146,Unidades!$C$3:$C$8,Unidades!$B$3:$B$8,0,0)</f>
        <v>1</v>
      </c>
      <c r="O146" s="140" t="str">
        <f t="shared" si="4"/>
        <v>INSERT INTO Operacao(OperacaoID, CulturaID, ParcelaID, TipoOperacaoID, DataRealizacao, Quantidade, UnidadeID) VALUES (145, 94, 107, 3,TO_DATE('16/12/2021','dd/mm/yyyy'), 500, 1);</v>
      </c>
      <c r="P146" s="140"/>
      <c r="Q146" s="140"/>
      <c r="R146" s="140"/>
      <c r="S146" s="140"/>
      <c r="T146" s="140"/>
      <c r="U146" s="140"/>
      <c r="V146" s="140"/>
      <c r="W146" s="140"/>
      <c r="X146" s="140"/>
      <c r="Y146" s="140"/>
      <c r="Z146" s="140"/>
      <c r="AA146" s="140"/>
    </row>
    <row r="147" spans="1:27" x14ac:dyDescent="0.25">
      <c r="A147" s="7">
        <v>104</v>
      </c>
      <c r="B147" t="s">
        <v>181</v>
      </c>
      <c r="C147" t="s">
        <v>5</v>
      </c>
      <c r="E147" t="s">
        <v>203</v>
      </c>
      <c r="F147" s="1">
        <v>44548</v>
      </c>
      <c r="G147">
        <v>60</v>
      </c>
      <c r="H147" t="s">
        <v>200</v>
      </c>
      <c r="K147" s="7">
        <f t="shared" si="5"/>
        <v>146</v>
      </c>
      <c r="L147" s="7">
        <f>_xlfn.XLOOKUP(E147,Plantas!$V$2:$V$96,Plantas!$U$2:$U$96,0,0)</f>
        <v>37</v>
      </c>
      <c r="M147" s="7" cm="1">
        <f t="array" ref="M147">_xlfn.XLOOKUP(C147,_xlfn.ANCHORARRAY($B$213),$A$213:$A$220,0,0)</f>
        <v>3</v>
      </c>
      <c r="N147" s="7">
        <f>_xlfn.XLOOKUP(H147,Unidades!$C$3:$C$8,Unidades!$B$3:$B$8,0,0)</f>
        <v>1</v>
      </c>
      <c r="O147" s="140" t="str">
        <f t="shared" si="4"/>
        <v>INSERT INTO Operacao(OperacaoID, CulturaID, ParcelaID, TipoOperacaoID, DataRealizacao, Quantidade, UnidadeID) VALUES (146, 37, 104, 3,TO_DATE('18/12/2021','dd/mm/yyyy'), 60, 1);</v>
      </c>
      <c r="P147" s="140"/>
      <c r="Q147" s="140"/>
      <c r="R147" s="140"/>
      <c r="S147" s="140"/>
      <c r="T147" s="140"/>
      <c r="U147" s="140"/>
      <c r="V147" s="140"/>
      <c r="W147" s="140"/>
      <c r="X147" s="140"/>
      <c r="Y147" s="140"/>
      <c r="Z147" s="140"/>
      <c r="AA147" s="140"/>
    </row>
    <row r="148" spans="1:27" x14ac:dyDescent="0.25">
      <c r="A148" s="7">
        <v>106</v>
      </c>
      <c r="B148" t="s">
        <v>219</v>
      </c>
      <c r="C148" t="s">
        <v>7</v>
      </c>
      <c r="E148" t="s">
        <v>226</v>
      </c>
      <c r="F148" s="1">
        <v>44548</v>
      </c>
      <c r="G148">
        <v>2500</v>
      </c>
      <c r="H148" t="s">
        <v>217</v>
      </c>
      <c r="K148" s="7">
        <f t="shared" si="5"/>
        <v>147</v>
      </c>
      <c r="L148" s="7">
        <f>_xlfn.XLOOKUP(E148,Plantas!$V$2:$V$96,Plantas!$U$2:$U$96,0,0)</f>
        <v>93</v>
      </c>
      <c r="M148" s="7" cm="1">
        <f t="array" ref="M148">_xlfn.XLOOKUP(C148,_xlfn.ANCHORARRAY($B$213),$A$213:$A$220,0,0)</f>
        <v>7</v>
      </c>
      <c r="N148" s="7">
        <f>_xlfn.XLOOKUP(H148,Unidades!$C$3:$C$8,Unidades!$B$3:$B$8,0,0)</f>
        <v>3</v>
      </c>
      <c r="O148" s="140" t="str">
        <f t="shared" si="4"/>
        <v>INSERT INTO Operacao(OperacaoID, CulturaID, ParcelaID, TipoOperacaoID, DataRealizacao, Quantidade, UnidadeID) VALUES (147, 93, 106, 7,TO_DATE('18/12/2021','dd/mm/yyyy'), 2500, 3);</v>
      </c>
      <c r="P148" s="140"/>
      <c r="Q148" s="140"/>
      <c r="R148" s="140"/>
      <c r="S148" s="140"/>
      <c r="T148" s="140"/>
      <c r="U148" s="140"/>
      <c r="V148" s="140"/>
      <c r="W148" s="140"/>
      <c r="X148" s="140"/>
      <c r="Y148" s="140"/>
      <c r="Z148" s="140"/>
      <c r="AA148" s="140"/>
    </row>
    <row r="149" spans="1:27" x14ac:dyDescent="0.25">
      <c r="A149" s="7">
        <v>107</v>
      </c>
      <c r="B149" t="s">
        <v>245</v>
      </c>
      <c r="C149" t="s">
        <v>5</v>
      </c>
      <c r="E149" t="s">
        <v>250</v>
      </c>
      <c r="F149" s="1">
        <v>44548</v>
      </c>
      <c r="G149">
        <v>700</v>
      </c>
      <c r="H149" t="s">
        <v>200</v>
      </c>
      <c r="K149" s="7">
        <f t="shared" si="5"/>
        <v>148</v>
      </c>
      <c r="L149" s="7">
        <f>_xlfn.XLOOKUP(E149,Plantas!$V$2:$V$96,Plantas!$U$2:$U$96,0,0)</f>
        <v>95</v>
      </c>
      <c r="M149" s="7" cm="1">
        <f t="array" ref="M149">_xlfn.XLOOKUP(C149,_xlfn.ANCHORARRAY($B$213),$A$213:$A$220,0,0)</f>
        <v>3</v>
      </c>
      <c r="N149" s="7">
        <f>_xlfn.XLOOKUP(H149,Unidades!$C$3:$C$8,Unidades!$B$3:$B$8,0,0)</f>
        <v>1</v>
      </c>
      <c r="O149" s="140" t="str">
        <f t="shared" si="4"/>
        <v>INSERT INTO Operacao(OperacaoID, CulturaID, ParcelaID, TipoOperacaoID, DataRealizacao, Quantidade, UnidadeID) VALUES (148, 95, 107, 3,TO_DATE('18/12/2021','dd/mm/yyyy'), 700, 1);</v>
      </c>
      <c r="P149" s="140"/>
      <c r="Q149" s="140"/>
      <c r="R149" s="140"/>
      <c r="S149" s="140"/>
      <c r="T149" s="140"/>
      <c r="U149" s="140"/>
      <c r="V149" s="140"/>
      <c r="W149" s="140"/>
      <c r="X149" s="140"/>
      <c r="Y149" s="140"/>
      <c r="Z149" s="140"/>
      <c r="AA149" s="140"/>
    </row>
    <row r="150" spans="1:27" x14ac:dyDescent="0.25">
      <c r="A150" s="7">
        <v>106</v>
      </c>
      <c r="B150" t="s">
        <v>219</v>
      </c>
      <c r="C150" t="s">
        <v>7</v>
      </c>
      <c r="E150" t="s">
        <v>226</v>
      </c>
      <c r="F150" s="1">
        <v>44565</v>
      </c>
      <c r="G150">
        <v>2900</v>
      </c>
      <c r="H150" t="s">
        <v>217</v>
      </c>
      <c r="K150" s="7">
        <f t="shared" si="5"/>
        <v>149</v>
      </c>
      <c r="L150" s="7">
        <f>_xlfn.XLOOKUP(E150,Plantas!$V$2:$V$96,Plantas!$U$2:$U$96,0,0)</f>
        <v>93</v>
      </c>
      <c r="M150" s="7" cm="1">
        <f t="array" ref="M150">_xlfn.XLOOKUP(C150,_xlfn.ANCHORARRAY($B$213),$A$213:$A$220,0,0)</f>
        <v>7</v>
      </c>
      <c r="N150" s="7">
        <f>_xlfn.XLOOKUP(H150,Unidades!$C$3:$C$8,Unidades!$B$3:$B$8,0,0)</f>
        <v>3</v>
      </c>
      <c r="O150" s="140" t="str">
        <f t="shared" si="4"/>
        <v>INSERT INTO Operacao(OperacaoID, CulturaID, ParcelaID, TipoOperacaoID, DataRealizacao, Quantidade, UnidadeID) VALUES (149, 93, 106, 7,TO_DATE('04/01/2022','dd/mm/yyyy'), 2900, 3);</v>
      </c>
      <c r="P150" s="140"/>
      <c r="Q150" s="140"/>
      <c r="R150" s="140"/>
      <c r="S150" s="140"/>
      <c r="T150" s="140"/>
      <c r="U150" s="140"/>
      <c r="V150" s="140"/>
      <c r="W150" s="140"/>
      <c r="X150" s="140"/>
      <c r="Y150" s="140"/>
      <c r="Z150" s="140"/>
      <c r="AA150" s="140"/>
    </row>
    <row r="151" spans="1:27" x14ac:dyDescent="0.25">
      <c r="A151" s="7">
        <v>107</v>
      </c>
      <c r="B151" t="s">
        <v>245</v>
      </c>
      <c r="C151" t="s">
        <v>251</v>
      </c>
      <c r="E151" t="s">
        <v>246</v>
      </c>
      <c r="F151" s="1">
        <v>44581</v>
      </c>
      <c r="G151">
        <v>3</v>
      </c>
      <c r="H151" t="s">
        <v>217</v>
      </c>
      <c r="I151" t="s">
        <v>142</v>
      </c>
      <c r="K151" s="7">
        <f t="shared" si="5"/>
        <v>150</v>
      </c>
      <c r="L151" s="7">
        <f>_xlfn.XLOOKUP(E151,Plantas!$V$2:$V$96,Plantas!$U$2:$U$96,0,0)</f>
        <v>94</v>
      </c>
      <c r="M151" s="7" cm="1">
        <f t="array" ref="M151">_xlfn.XLOOKUP(C151,_xlfn.ANCHORARRAY($B$213),$A$213:$A$220,0,0)</f>
        <v>5</v>
      </c>
      <c r="N151" s="7">
        <f>_xlfn.XLOOKUP(H151,Unidades!$C$3:$C$8,Unidades!$B$3:$B$8,0,0)</f>
        <v>3</v>
      </c>
      <c r="O151" s="140" t="str">
        <f t="shared" si="4"/>
        <v>INSERT INTO Operacao(OperacaoID, CulturaID, ParcelaID, TipoOperacaoID, DataRealizacao, Quantidade, UnidadeID) VALUES (150, 94, 107, 5,TO_DATE('20/01/2022','dd/mm/yyyy'), 3, 3);</v>
      </c>
      <c r="P151" s="140"/>
      <c r="Q151" s="140"/>
      <c r="R151" s="140"/>
      <c r="S151" s="140"/>
      <c r="T151" s="140"/>
      <c r="U151" s="140"/>
      <c r="V151" s="140"/>
      <c r="W151" s="140"/>
      <c r="X151" s="140"/>
      <c r="Y151" s="140"/>
      <c r="Z151" s="140"/>
      <c r="AA151" s="140"/>
    </row>
    <row r="152" spans="1:27" x14ac:dyDescent="0.25">
      <c r="A152" s="7">
        <v>107</v>
      </c>
      <c r="B152" t="s">
        <v>245</v>
      </c>
      <c r="C152" t="s">
        <v>251</v>
      </c>
      <c r="E152" t="s">
        <v>250</v>
      </c>
      <c r="F152" s="1">
        <v>44581</v>
      </c>
      <c r="G152">
        <v>3.5</v>
      </c>
      <c r="H152" t="s">
        <v>217</v>
      </c>
      <c r="I152" t="s">
        <v>142</v>
      </c>
      <c r="K152" s="7">
        <f t="shared" si="5"/>
        <v>151</v>
      </c>
      <c r="L152" s="7">
        <f>_xlfn.XLOOKUP(E152,Plantas!$V$2:$V$96,Plantas!$U$2:$U$96,0,0)</f>
        <v>95</v>
      </c>
      <c r="M152" s="7" cm="1">
        <f t="array" ref="M152">_xlfn.XLOOKUP(C152,_xlfn.ANCHORARRAY($B$213),$A$213:$A$220,0,0)</f>
        <v>5</v>
      </c>
      <c r="N152" s="7">
        <f>_xlfn.XLOOKUP(H152,Unidades!$C$3:$C$8,Unidades!$B$3:$B$8,0,0)</f>
        <v>3</v>
      </c>
      <c r="O152" s="140" t="str">
        <f t="shared" si="4"/>
        <v>INSERT INTO Operacao(OperacaoID, CulturaID, ParcelaID, TipoOperacaoID, DataRealizacao, Quantidade, UnidadeID) VALUES (151, 95, 107, 5,TO_DATE('20/01/2022','dd/mm/yyyy'), 3.5, 3);</v>
      </c>
      <c r="P152" s="140"/>
      <c r="Q152" s="140"/>
      <c r="R152" s="140"/>
      <c r="S152" s="140"/>
      <c r="T152" s="140"/>
      <c r="U152" s="140"/>
      <c r="V152" s="140"/>
      <c r="W152" s="140"/>
      <c r="X152" s="140"/>
      <c r="Y152" s="140"/>
      <c r="Z152" s="140"/>
      <c r="AA152" s="140"/>
    </row>
    <row r="153" spans="1:27" x14ac:dyDescent="0.25">
      <c r="A153" s="7">
        <v>106</v>
      </c>
      <c r="B153" t="s">
        <v>219</v>
      </c>
      <c r="C153" t="s">
        <v>213</v>
      </c>
      <c r="E153" t="s">
        <v>252</v>
      </c>
      <c r="F153" s="1">
        <v>44626</v>
      </c>
      <c r="G153">
        <v>0.9</v>
      </c>
      <c r="H153" t="s">
        <v>217</v>
      </c>
      <c r="K153" s="7">
        <f t="shared" si="5"/>
        <v>152</v>
      </c>
      <c r="L153" s="7">
        <f>_xlfn.XLOOKUP(E153,Plantas!$V$2:$V$96,Plantas!$U$2:$U$96,0,0)</f>
        <v>77</v>
      </c>
      <c r="M153" s="7" cm="1">
        <f t="array" ref="M153">_xlfn.XLOOKUP(C153,_xlfn.ANCHORARRAY($B$213),$A$213:$A$220,0,0)</f>
        <v>6</v>
      </c>
      <c r="N153" s="7">
        <f>_xlfn.XLOOKUP(H153,Unidades!$C$3:$C$8,Unidades!$B$3:$B$8,0,0)</f>
        <v>3</v>
      </c>
      <c r="O153" s="140" t="str">
        <f t="shared" si="4"/>
        <v>INSERT INTO Operacao(OperacaoID, CulturaID, ParcelaID, TipoOperacaoID, DataRealizacao, Quantidade, UnidadeID) VALUES (152, 77, 106, 6,TO_DATE('06/03/2022','dd/mm/yyyy'), 0.9, 3);</v>
      </c>
      <c r="P153" s="140"/>
      <c r="Q153" s="140"/>
      <c r="R153" s="140"/>
      <c r="S153" s="140"/>
      <c r="T153" s="140"/>
      <c r="U153" s="140"/>
      <c r="V153" s="140"/>
      <c r="W153" s="140"/>
      <c r="X153" s="140"/>
      <c r="Y153" s="140"/>
      <c r="Z153" s="140"/>
      <c r="AA153" s="140"/>
    </row>
    <row r="154" spans="1:27" x14ac:dyDescent="0.25">
      <c r="A154" s="7">
        <v>103</v>
      </c>
      <c r="B154" t="s">
        <v>180</v>
      </c>
      <c r="C154" t="s">
        <v>214</v>
      </c>
      <c r="E154" t="s">
        <v>205</v>
      </c>
      <c r="F154" s="1">
        <v>44639</v>
      </c>
      <c r="G154">
        <v>1.3</v>
      </c>
      <c r="H154" t="s">
        <v>178</v>
      </c>
      <c r="K154" s="7">
        <f t="shared" si="5"/>
        <v>153</v>
      </c>
      <c r="L154" s="7">
        <f>_xlfn.XLOOKUP(E154,Plantas!$V$2:$V$96,Plantas!$U$2:$U$96,0,0)</f>
        <v>80</v>
      </c>
      <c r="M154" s="7" cm="1">
        <f t="array" ref="M154">_xlfn.XLOOKUP(C154,_xlfn.ANCHORARRAY($B$213),$A$213:$A$220,0,0)</f>
        <v>8</v>
      </c>
      <c r="N154" s="7">
        <f>_xlfn.XLOOKUP(H154,Unidades!$C$3:$C$8,Unidades!$B$3:$B$8,0,0)</f>
        <v>4</v>
      </c>
      <c r="O154" s="140" t="str">
        <f t="shared" si="4"/>
        <v>INSERT INTO Operacao(OperacaoID, CulturaID, ParcelaID, TipoOperacaoID, DataRealizacao, Quantidade, UnidadeID) VALUES (153, 80, 103, 8,TO_DATE('19/03/2022','dd/mm/yyyy'), 1.3, 4);</v>
      </c>
      <c r="P154" s="140"/>
      <c r="Q154" s="140"/>
      <c r="R154" s="140"/>
      <c r="S154" s="140"/>
      <c r="T154" s="140"/>
      <c r="U154" s="140"/>
      <c r="V154" s="140"/>
      <c r="W154" s="140"/>
      <c r="X154" s="140"/>
      <c r="Y154" s="140"/>
      <c r="Z154" s="140"/>
      <c r="AA154" s="140"/>
    </row>
    <row r="155" spans="1:27" x14ac:dyDescent="0.25">
      <c r="A155" s="7">
        <v>101</v>
      </c>
      <c r="B155" t="s">
        <v>177</v>
      </c>
      <c r="C155" t="s">
        <v>214</v>
      </c>
      <c r="E155" t="s">
        <v>205</v>
      </c>
      <c r="F155" s="1">
        <v>44656</v>
      </c>
      <c r="G155">
        <v>1.3</v>
      </c>
      <c r="H155" t="s">
        <v>178</v>
      </c>
      <c r="K155" s="7">
        <f t="shared" si="5"/>
        <v>154</v>
      </c>
      <c r="L155" s="7">
        <f>_xlfn.XLOOKUP(E155,Plantas!$V$2:$V$96,Plantas!$U$2:$U$96,0,0)</f>
        <v>80</v>
      </c>
      <c r="M155" s="7" cm="1">
        <f t="array" ref="M155">_xlfn.XLOOKUP(C155,_xlfn.ANCHORARRAY($B$213),$A$213:$A$220,0,0)</f>
        <v>8</v>
      </c>
      <c r="N155" s="7">
        <f>_xlfn.XLOOKUP(H155,Unidades!$C$3:$C$8,Unidades!$B$3:$B$8,0,0)</f>
        <v>4</v>
      </c>
      <c r="O155" s="140" t="str">
        <f t="shared" si="4"/>
        <v>INSERT INTO Operacao(OperacaoID, CulturaID, ParcelaID, TipoOperacaoID, DataRealizacao, Quantidade, UnidadeID) VALUES (154, 80, 101, 8,TO_DATE('05/04/2022','dd/mm/yyyy'), 1.3, 4);</v>
      </c>
      <c r="P155" s="140"/>
      <c r="Q155" s="140"/>
      <c r="R155" s="140"/>
      <c r="S155" s="140"/>
      <c r="T155" s="140"/>
      <c r="U155" s="140"/>
      <c r="V155" s="140"/>
      <c r="W155" s="140"/>
      <c r="X155" s="140"/>
      <c r="Y155" s="140"/>
      <c r="Z155" s="140"/>
      <c r="AA155" s="140"/>
    </row>
    <row r="156" spans="1:27" x14ac:dyDescent="0.25">
      <c r="A156" s="7">
        <v>103</v>
      </c>
      <c r="B156" t="s">
        <v>180</v>
      </c>
      <c r="C156" t="s">
        <v>213</v>
      </c>
      <c r="E156" t="s">
        <v>238</v>
      </c>
      <c r="F156" s="1">
        <v>44659</v>
      </c>
      <c r="G156">
        <v>1.2</v>
      </c>
      <c r="H156" t="s">
        <v>178</v>
      </c>
      <c r="K156" s="7">
        <f t="shared" si="5"/>
        <v>155</v>
      </c>
      <c r="L156" s="7">
        <f>_xlfn.XLOOKUP(E156,Plantas!$V$2:$V$96,Plantas!$U$2:$U$96,0,0)</f>
        <v>82</v>
      </c>
      <c r="M156" s="7" cm="1">
        <f t="array" ref="M156">_xlfn.XLOOKUP(C156,_xlfn.ANCHORARRAY($B$213),$A$213:$A$220,0,0)</f>
        <v>6</v>
      </c>
      <c r="N156" s="7">
        <f>_xlfn.XLOOKUP(H156,Unidades!$C$3:$C$8,Unidades!$B$3:$B$8,0,0)</f>
        <v>4</v>
      </c>
      <c r="O156" s="140" t="str">
        <f t="shared" si="4"/>
        <v>INSERT INTO Operacao(OperacaoID, CulturaID, ParcelaID, TipoOperacaoID, DataRealizacao, Quantidade, UnidadeID) VALUES (155, 82, 103, 6,TO_DATE('08/04/2022','dd/mm/yyyy'), 1.2, 4);</v>
      </c>
      <c r="P156" s="140"/>
      <c r="Q156" s="140"/>
      <c r="R156" s="140"/>
      <c r="S156" s="140"/>
      <c r="T156" s="140"/>
      <c r="U156" s="140"/>
      <c r="V156" s="140"/>
      <c r="W156" s="140"/>
      <c r="X156" s="140"/>
      <c r="Y156" s="140"/>
      <c r="Z156" s="140"/>
      <c r="AA156" s="140"/>
    </row>
    <row r="157" spans="1:27" x14ac:dyDescent="0.25">
      <c r="A157" s="7">
        <v>101</v>
      </c>
      <c r="B157" t="s">
        <v>177</v>
      </c>
      <c r="C157" t="s">
        <v>213</v>
      </c>
      <c r="E157" t="s">
        <v>206</v>
      </c>
      <c r="F157" s="1">
        <v>44666</v>
      </c>
      <c r="G157">
        <v>30</v>
      </c>
      <c r="H157" t="s">
        <v>217</v>
      </c>
      <c r="K157" s="7">
        <f t="shared" si="5"/>
        <v>156</v>
      </c>
      <c r="L157" s="7">
        <f>_xlfn.XLOOKUP(E157,Plantas!$V$2:$V$96,Plantas!$U$2:$U$96,0,0)</f>
        <v>83</v>
      </c>
      <c r="M157" s="7" cm="1">
        <f t="array" ref="M157">_xlfn.XLOOKUP(C157,_xlfn.ANCHORARRAY($B$213),$A$213:$A$220,0,0)</f>
        <v>6</v>
      </c>
      <c r="N157" s="7">
        <f>_xlfn.XLOOKUP(H157,Unidades!$C$3:$C$8,Unidades!$B$3:$B$8,0,0)</f>
        <v>3</v>
      </c>
      <c r="O157" s="140" t="str">
        <f t="shared" si="4"/>
        <v>INSERT INTO Operacao(OperacaoID, CulturaID, ParcelaID, TipoOperacaoID, DataRealizacao, Quantidade, UnidadeID) VALUES (156, 83, 101, 6,TO_DATE('15/04/2022','dd/mm/yyyy'), 30, 3);</v>
      </c>
      <c r="P157" s="140"/>
      <c r="Q157" s="140"/>
      <c r="R157" s="140"/>
      <c r="S157" s="140"/>
      <c r="T157" s="140"/>
      <c r="U157" s="140"/>
      <c r="V157" s="140"/>
      <c r="W157" s="140"/>
      <c r="X157" s="140"/>
      <c r="Y157" s="140"/>
      <c r="Z157" s="140"/>
      <c r="AA157" s="140"/>
    </row>
    <row r="158" spans="1:27" x14ac:dyDescent="0.25">
      <c r="A158" s="7">
        <v>106</v>
      </c>
      <c r="B158" t="s">
        <v>219</v>
      </c>
      <c r="C158" t="s">
        <v>7</v>
      </c>
      <c r="E158" t="s">
        <v>252</v>
      </c>
      <c r="F158" s="1">
        <v>44686</v>
      </c>
      <c r="G158">
        <v>2250</v>
      </c>
      <c r="H158" t="s">
        <v>217</v>
      </c>
      <c r="K158" s="7">
        <f t="shared" si="5"/>
        <v>157</v>
      </c>
      <c r="L158" s="7">
        <f>_xlfn.XLOOKUP(E158,Plantas!$V$2:$V$96,Plantas!$U$2:$U$96,0,0)</f>
        <v>77</v>
      </c>
      <c r="M158" s="7" cm="1">
        <f t="array" ref="M158">_xlfn.XLOOKUP(C158,_xlfn.ANCHORARRAY($B$213),$A$213:$A$220,0,0)</f>
        <v>7</v>
      </c>
      <c r="N158" s="7">
        <f>_xlfn.XLOOKUP(H158,Unidades!$C$3:$C$8,Unidades!$B$3:$B$8,0,0)</f>
        <v>3</v>
      </c>
      <c r="O158" s="140" t="str">
        <f t="shared" si="4"/>
        <v>INSERT INTO Operacao(OperacaoID, CulturaID, ParcelaID, TipoOperacaoID, DataRealizacao, Quantidade, UnidadeID) VALUES (157, 77, 106, 7,TO_DATE('05/05/2022','dd/mm/yyyy'), 2250, 3);</v>
      </c>
      <c r="P158" s="140"/>
      <c r="Q158" s="140"/>
      <c r="R158" s="140"/>
      <c r="S158" s="140"/>
      <c r="T158" s="140"/>
      <c r="U158" s="140"/>
      <c r="V158" s="140"/>
      <c r="W158" s="140"/>
      <c r="X158" s="140"/>
      <c r="Y158" s="140"/>
      <c r="Z158" s="140"/>
      <c r="AA158" s="140"/>
    </row>
    <row r="159" spans="1:27" x14ac:dyDescent="0.25">
      <c r="A159" s="7">
        <v>104</v>
      </c>
      <c r="B159" t="s">
        <v>181</v>
      </c>
      <c r="C159" t="s">
        <v>215</v>
      </c>
      <c r="D159" t="s">
        <v>216</v>
      </c>
      <c r="E159" t="s">
        <v>48</v>
      </c>
      <c r="F159" s="1">
        <v>44694</v>
      </c>
      <c r="G159">
        <v>10</v>
      </c>
      <c r="H159" t="s">
        <v>217</v>
      </c>
      <c r="I159" t="s">
        <v>159</v>
      </c>
      <c r="K159" s="7">
        <f t="shared" si="5"/>
        <v>158</v>
      </c>
      <c r="L159" s="7">
        <f>_xlfn.XLOOKUP(E159,Plantas!$V$2:$V$96,Plantas!$U$2:$U$96,0,0)</f>
        <v>0</v>
      </c>
      <c r="M159" s="7" cm="1">
        <f t="array" ref="M159">_xlfn.XLOOKUP(C159,_xlfn.ANCHORARRAY($B$213),$A$213:$A$220,0,0)</f>
        <v>4</v>
      </c>
      <c r="N159" s="7">
        <f>_xlfn.XLOOKUP(H159,Unidades!$C$3:$C$8,Unidades!$B$3:$B$8,0,0)</f>
        <v>3</v>
      </c>
      <c r="O159" s="140" t="str">
        <f t="shared" si="4"/>
        <v>INSERT INTO Operacao(OperacaoID, CulturaID, ParcelaID, TipoOperacaoID, DataRealizacao, Quantidade, UnidadeID) VALUES (158, 0, 104, 4,TO_DATE('13/05/2022','dd/mm/yyyy'), 10, 3);</v>
      </c>
      <c r="P159" s="140"/>
      <c r="Q159" s="140"/>
      <c r="R159" s="140"/>
      <c r="S159" s="140"/>
      <c r="T159" s="140"/>
      <c r="U159" s="140"/>
      <c r="V159" s="140"/>
      <c r="W159" s="140"/>
      <c r="X159" s="140"/>
      <c r="Y159" s="140"/>
      <c r="Z159" s="140"/>
      <c r="AA159" s="140"/>
    </row>
    <row r="160" spans="1:27" x14ac:dyDescent="0.25">
      <c r="A160" s="7">
        <v>106</v>
      </c>
      <c r="B160" t="s">
        <v>219</v>
      </c>
      <c r="C160" t="s">
        <v>7</v>
      </c>
      <c r="E160" t="s">
        <v>252</v>
      </c>
      <c r="F160" s="1">
        <v>44696</v>
      </c>
      <c r="G160">
        <v>1300</v>
      </c>
      <c r="H160" t="s">
        <v>217</v>
      </c>
      <c r="K160" s="7">
        <f t="shared" si="5"/>
        <v>159</v>
      </c>
      <c r="L160" s="7">
        <f>_xlfn.XLOOKUP(E160,Plantas!$V$2:$V$96,Plantas!$U$2:$U$96,0,0)</f>
        <v>77</v>
      </c>
      <c r="M160" s="7" cm="1">
        <f t="array" ref="M160">_xlfn.XLOOKUP(C160,_xlfn.ANCHORARRAY($B$213),$A$213:$A$220,0,0)</f>
        <v>7</v>
      </c>
      <c r="N160" s="7">
        <f>_xlfn.XLOOKUP(H160,Unidades!$C$3:$C$8,Unidades!$B$3:$B$8,0,0)</f>
        <v>3</v>
      </c>
      <c r="O160" s="140" t="str">
        <f t="shared" si="4"/>
        <v>INSERT INTO Operacao(OperacaoID, CulturaID, ParcelaID, TipoOperacaoID, DataRealizacao, Quantidade, UnidadeID) VALUES (159, 77, 106, 7,TO_DATE('15/05/2022','dd/mm/yyyy'), 1300, 3);</v>
      </c>
      <c r="P160" s="140"/>
      <c r="Q160" s="140"/>
      <c r="R160" s="140"/>
      <c r="S160" s="140"/>
      <c r="T160" s="140"/>
      <c r="U160" s="140"/>
      <c r="V160" s="140"/>
      <c r="W160" s="140"/>
      <c r="X160" s="140"/>
      <c r="Y160" s="140"/>
      <c r="Z160" s="140"/>
      <c r="AA160" s="140"/>
    </row>
    <row r="161" spans="1:27" x14ac:dyDescent="0.25">
      <c r="A161" s="7">
        <v>106</v>
      </c>
      <c r="B161" t="s">
        <v>219</v>
      </c>
      <c r="C161" t="s">
        <v>213</v>
      </c>
      <c r="E161" t="s">
        <v>221</v>
      </c>
      <c r="F161" s="1">
        <v>44711</v>
      </c>
      <c r="G161">
        <v>0.6</v>
      </c>
      <c r="H161" t="s">
        <v>217</v>
      </c>
      <c r="K161" s="7">
        <f t="shared" si="5"/>
        <v>160</v>
      </c>
      <c r="L161" s="7">
        <f>_xlfn.XLOOKUP(E161,Plantas!$V$2:$V$96,Plantas!$U$2:$U$96,0,0)</f>
        <v>78</v>
      </c>
      <c r="M161" s="7" cm="1">
        <f t="array" ref="M161">_xlfn.XLOOKUP(C161,_xlfn.ANCHORARRAY($B$213),$A$213:$A$220,0,0)</f>
        <v>6</v>
      </c>
      <c r="N161" s="7">
        <f>_xlfn.XLOOKUP(H161,Unidades!$C$3:$C$8,Unidades!$B$3:$B$8,0,0)</f>
        <v>3</v>
      </c>
      <c r="O161" s="140" t="str">
        <f t="shared" si="4"/>
        <v>INSERT INTO Operacao(OperacaoID, CulturaID, ParcelaID, TipoOperacaoID, DataRealizacao, Quantidade, UnidadeID) VALUES (160, 78, 106, 6,TO_DATE('30/05/2022','dd/mm/yyyy'), 0.6, 3);</v>
      </c>
      <c r="P161" s="140"/>
      <c r="Q161" s="140"/>
      <c r="R161" s="140"/>
      <c r="S161" s="140"/>
      <c r="T161" s="140"/>
      <c r="U161" s="140"/>
      <c r="V161" s="140"/>
      <c r="W161" s="140"/>
      <c r="X161" s="140"/>
      <c r="Y161" s="140"/>
      <c r="Z161" s="140"/>
      <c r="AA161" s="140"/>
    </row>
    <row r="162" spans="1:27" x14ac:dyDescent="0.25">
      <c r="A162" s="7">
        <v>104</v>
      </c>
      <c r="B162" t="s">
        <v>181</v>
      </c>
      <c r="C162" t="s">
        <v>190</v>
      </c>
      <c r="E162" t="s">
        <v>48</v>
      </c>
      <c r="F162" s="1">
        <v>44717</v>
      </c>
      <c r="G162">
        <v>3</v>
      </c>
      <c r="H162" t="s">
        <v>192</v>
      </c>
      <c r="K162" s="7">
        <f t="shared" si="5"/>
        <v>161</v>
      </c>
      <c r="L162" s="7">
        <f>_xlfn.XLOOKUP(E162,Plantas!$V$2:$V$96,Plantas!$U$2:$U$96,0,0)</f>
        <v>0</v>
      </c>
      <c r="M162" s="7" cm="1">
        <f t="array" ref="M162">_xlfn.XLOOKUP(C162,_xlfn.ANCHORARRAY($B$213),$A$213:$A$220,0,0)</f>
        <v>2</v>
      </c>
      <c r="N162" s="7">
        <f>_xlfn.XLOOKUP(H162,Unidades!$C$3:$C$8,Unidades!$B$3:$B$8,0,0)</f>
        <v>2</v>
      </c>
      <c r="O162" s="140" t="str">
        <f t="shared" si="4"/>
        <v>INSERT INTO Operacao(OperacaoID, CulturaID, ParcelaID, TipoOperacaoID, DataRealizacao, Quantidade, UnidadeID) VALUES (161, 0, 104, 2,TO_DATE('05/06/2022','dd/mm/yyyy'), 3, 2);</v>
      </c>
      <c r="P162" s="140"/>
      <c r="Q162" s="140"/>
      <c r="R162" s="140"/>
      <c r="S162" s="140"/>
      <c r="T162" s="140"/>
      <c r="U162" s="140"/>
      <c r="V162" s="140"/>
      <c r="W162" s="140"/>
      <c r="X162" s="140"/>
      <c r="Y162" s="140"/>
      <c r="Z162" s="140"/>
      <c r="AA162" s="140"/>
    </row>
    <row r="163" spans="1:27" x14ac:dyDescent="0.25">
      <c r="A163" s="7">
        <v>106</v>
      </c>
      <c r="B163" t="s">
        <v>219</v>
      </c>
      <c r="C163" t="s">
        <v>190</v>
      </c>
      <c r="E163" t="s">
        <v>221</v>
      </c>
      <c r="F163" s="1">
        <v>44742</v>
      </c>
      <c r="G163">
        <v>3</v>
      </c>
      <c r="H163" t="s">
        <v>192</v>
      </c>
      <c r="K163" s="7">
        <f t="shared" si="5"/>
        <v>162</v>
      </c>
      <c r="L163" s="7">
        <f>_xlfn.XLOOKUP(E163,Plantas!$V$2:$V$96,Plantas!$U$2:$U$96,0,0)</f>
        <v>78</v>
      </c>
      <c r="M163" s="7" cm="1">
        <f t="array" ref="M163">_xlfn.XLOOKUP(C163,_xlfn.ANCHORARRAY($B$213),$A$213:$A$220,0,0)</f>
        <v>2</v>
      </c>
      <c r="N163" s="7">
        <f>_xlfn.XLOOKUP(H163,Unidades!$C$3:$C$8,Unidades!$B$3:$B$8,0,0)</f>
        <v>2</v>
      </c>
      <c r="O163" s="140" t="str">
        <f t="shared" si="4"/>
        <v>INSERT INTO Operacao(OperacaoID, CulturaID, ParcelaID, TipoOperacaoID, DataRealizacao, Quantidade, UnidadeID) VALUES (162, 78, 106, 2,TO_DATE('30/06/2022','dd/mm/yyyy'), 3, 2);</v>
      </c>
      <c r="P163" s="140"/>
      <c r="Q163" s="140"/>
      <c r="R163" s="140"/>
      <c r="S163" s="140"/>
      <c r="T163" s="140"/>
      <c r="U163" s="140"/>
      <c r="V163" s="140"/>
      <c r="W163" s="140"/>
      <c r="X163" s="140"/>
      <c r="Y163" s="140"/>
      <c r="Z163" s="140"/>
      <c r="AA163" s="140"/>
    </row>
    <row r="164" spans="1:27" x14ac:dyDescent="0.25">
      <c r="A164" s="7">
        <v>104</v>
      </c>
      <c r="B164" t="s">
        <v>181</v>
      </c>
      <c r="C164" t="s">
        <v>190</v>
      </c>
      <c r="E164" t="s">
        <v>48</v>
      </c>
      <c r="F164" s="1">
        <v>44744</v>
      </c>
      <c r="G164">
        <v>5.5</v>
      </c>
      <c r="H164" t="s">
        <v>192</v>
      </c>
      <c r="K164" s="7">
        <f t="shared" si="5"/>
        <v>163</v>
      </c>
      <c r="L164" s="7">
        <f>_xlfn.XLOOKUP(E164,Plantas!$V$2:$V$96,Plantas!$U$2:$U$96,0,0)</f>
        <v>0</v>
      </c>
      <c r="M164" s="7" cm="1">
        <f t="array" ref="M164">_xlfn.XLOOKUP(C164,_xlfn.ANCHORARRAY($B$213),$A$213:$A$220,0,0)</f>
        <v>2</v>
      </c>
      <c r="N164" s="7">
        <f>_xlfn.XLOOKUP(H164,Unidades!$C$3:$C$8,Unidades!$B$3:$B$8,0,0)</f>
        <v>2</v>
      </c>
      <c r="O164" s="140" t="str">
        <f t="shared" si="4"/>
        <v>INSERT INTO Operacao(OperacaoID, CulturaID, ParcelaID, TipoOperacaoID, DataRealizacao, Quantidade, UnidadeID) VALUES (163, 0, 104, 2,TO_DATE('02/07/2022','dd/mm/yyyy'), 5.5, 2);</v>
      </c>
      <c r="P164" s="140"/>
      <c r="Q164" s="140"/>
      <c r="R164" s="140"/>
      <c r="S164" s="140"/>
      <c r="T164" s="140"/>
      <c r="U164" s="140"/>
      <c r="V164" s="140"/>
      <c r="W164" s="140"/>
      <c r="X164" s="140"/>
      <c r="Y164" s="140"/>
      <c r="Z164" s="140"/>
      <c r="AA164" s="140"/>
    </row>
    <row r="165" spans="1:27" x14ac:dyDescent="0.25">
      <c r="A165" s="7">
        <v>102</v>
      </c>
      <c r="B165" t="s">
        <v>198</v>
      </c>
      <c r="C165" t="s">
        <v>190</v>
      </c>
      <c r="E165" t="s">
        <v>201</v>
      </c>
      <c r="F165" s="1">
        <v>44745</v>
      </c>
      <c r="G165">
        <v>0.8</v>
      </c>
      <c r="H165" t="s">
        <v>192</v>
      </c>
      <c r="K165" s="7">
        <f t="shared" si="5"/>
        <v>164</v>
      </c>
      <c r="L165" s="7">
        <f>_xlfn.XLOOKUP(E165,Plantas!$V$2:$V$96,Plantas!$U$2:$U$96,0,0)</f>
        <v>89</v>
      </c>
      <c r="M165" s="7" cm="1">
        <f t="array" ref="M165">_xlfn.XLOOKUP(C165,_xlfn.ANCHORARRAY($B$213),$A$213:$A$220,0,0)</f>
        <v>2</v>
      </c>
      <c r="N165" s="7">
        <f>_xlfn.XLOOKUP(H165,Unidades!$C$3:$C$8,Unidades!$B$3:$B$8,0,0)</f>
        <v>2</v>
      </c>
      <c r="O165" s="140" t="str">
        <f t="shared" si="4"/>
        <v>INSERT INTO Operacao(OperacaoID, CulturaID, ParcelaID, TipoOperacaoID, DataRealizacao, Quantidade, UnidadeID) VALUES (164, 89, 102, 2,TO_DATE('03/07/2022','dd/mm/yyyy'), 0.8, 2);</v>
      </c>
      <c r="P165" s="140"/>
      <c r="Q165" s="140"/>
      <c r="R165" s="140"/>
      <c r="S165" s="140"/>
      <c r="T165" s="140"/>
      <c r="U165" s="140"/>
      <c r="V165" s="140"/>
      <c r="W165" s="140"/>
      <c r="X165" s="140"/>
      <c r="Y165" s="140"/>
      <c r="Z165" s="140"/>
      <c r="AA165" s="140"/>
    </row>
    <row r="166" spans="1:27" x14ac:dyDescent="0.25">
      <c r="A166" s="7">
        <v>102</v>
      </c>
      <c r="B166" t="s">
        <v>198</v>
      </c>
      <c r="C166" t="s">
        <v>190</v>
      </c>
      <c r="E166" t="s">
        <v>199</v>
      </c>
      <c r="F166" s="1">
        <v>44745</v>
      </c>
      <c r="G166">
        <v>1.5</v>
      </c>
      <c r="H166" t="s">
        <v>192</v>
      </c>
      <c r="K166" s="7">
        <f t="shared" si="5"/>
        <v>165</v>
      </c>
      <c r="L166" s="7">
        <f>_xlfn.XLOOKUP(E166,Plantas!$V$2:$V$96,Plantas!$U$2:$U$96,0,0)</f>
        <v>92</v>
      </c>
      <c r="M166" s="7" cm="1">
        <f t="array" ref="M166">_xlfn.XLOOKUP(C166,_xlfn.ANCHORARRAY($B$213),$A$213:$A$220,0,0)</f>
        <v>2</v>
      </c>
      <c r="N166" s="7">
        <f>_xlfn.XLOOKUP(H166,Unidades!$C$3:$C$8,Unidades!$B$3:$B$8,0,0)</f>
        <v>2</v>
      </c>
      <c r="O166" s="140" t="str">
        <f t="shared" si="4"/>
        <v>INSERT INTO Operacao(OperacaoID, CulturaID, ParcelaID, TipoOperacaoID, DataRealizacao, Quantidade, UnidadeID) VALUES (165, 92, 102, 2,TO_DATE('03/07/2022','dd/mm/yyyy'), 1.5, 2);</v>
      </c>
      <c r="P166" s="140"/>
      <c r="Q166" s="140"/>
      <c r="R166" s="140"/>
      <c r="S166" s="140"/>
      <c r="T166" s="140"/>
      <c r="U166" s="140"/>
      <c r="V166" s="140"/>
      <c r="W166" s="140"/>
      <c r="X166" s="140"/>
      <c r="Y166" s="140"/>
      <c r="Z166" s="140"/>
      <c r="AA166" s="140"/>
    </row>
    <row r="167" spans="1:27" x14ac:dyDescent="0.25">
      <c r="A167" s="7">
        <v>107</v>
      </c>
      <c r="B167" t="s">
        <v>245</v>
      </c>
      <c r="C167" t="s">
        <v>190</v>
      </c>
      <c r="E167" t="s">
        <v>250</v>
      </c>
      <c r="F167" s="1">
        <v>44752</v>
      </c>
      <c r="G167">
        <v>5</v>
      </c>
      <c r="H167" t="s">
        <v>192</v>
      </c>
      <c r="K167" s="7">
        <f t="shared" si="5"/>
        <v>166</v>
      </c>
      <c r="L167" s="7">
        <f>_xlfn.XLOOKUP(E167,Plantas!$V$2:$V$96,Plantas!$U$2:$U$96,0,0)</f>
        <v>95</v>
      </c>
      <c r="M167" s="7" cm="1">
        <f t="array" ref="M167">_xlfn.XLOOKUP(C167,_xlfn.ANCHORARRAY($B$213),$A$213:$A$220,0,0)</f>
        <v>2</v>
      </c>
      <c r="N167" s="7">
        <f>_xlfn.XLOOKUP(H167,Unidades!$C$3:$C$8,Unidades!$B$3:$B$8,0,0)</f>
        <v>2</v>
      </c>
      <c r="O167" s="140" t="str">
        <f t="shared" si="4"/>
        <v>INSERT INTO Operacao(OperacaoID, CulturaID, ParcelaID, TipoOperacaoID, DataRealizacao, Quantidade, UnidadeID) VALUES (166, 95, 107, 2,TO_DATE('10/07/2022','dd/mm/yyyy'), 5, 2);</v>
      </c>
      <c r="P167" s="140"/>
      <c r="Q167" s="140"/>
      <c r="R167" s="140"/>
      <c r="S167" s="140"/>
      <c r="T167" s="140"/>
      <c r="U167" s="140"/>
      <c r="V167" s="140"/>
      <c r="W167" s="140"/>
      <c r="X167" s="140"/>
      <c r="Y167" s="140"/>
      <c r="Z167" s="140"/>
      <c r="AA167" s="140"/>
    </row>
    <row r="168" spans="1:27" x14ac:dyDescent="0.25">
      <c r="A168" s="7">
        <v>103</v>
      </c>
      <c r="B168" t="s">
        <v>180</v>
      </c>
      <c r="C168" t="s">
        <v>190</v>
      </c>
      <c r="E168" t="s">
        <v>238</v>
      </c>
      <c r="F168" s="1">
        <v>44754</v>
      </c>
      <c r="G168">
        <v>15</v>
      </c>
      <c r="H168" t="s">
        <v>192</v>
      </c>
      <c r="K168" s="7">
        <f t="shared" si="5"/>
        <v>167</v>
      </c>
      <c r="L168" s="7">
        <f>_xlfn.XLOOKUP(E168,Plantas!$V$2:$V$96,Plantas!$U$2:$U$96,0,0)</f>
        <v>82</v>
      </c>
      <c r="M168" s="7" cm="1">
        <f t="array" ref="M168">_xlfn.XLOOKUP(C168,_xlfn.ANCHORARRAY($B$213),$A$213:$A$220,0,0)</f>
        <v>2</v>
      </c>
      <c r="N168" s="7">
        <f>_xlfn.XLOOKUP(H168,Unidades!$C$3:$C$8,Unidades!$B$3:$B$8,0,0)</f>
        <v>2</v>
      </c>
      <c r="O168" s="140" t="str">
        <f t="shared" si="4"/>
        <v>INSERT INTO Operacao(OperacaoID, CulturaID, ParcelaID, TipoOperacaoID, DataRealizacao, Quantidade, UnidadeID) VALUES (167, 82, 103, 2,TO_DATE('12/07/2022','dd/mm/yyyy'), 15, 2);</v>
      </c>
      <c r="P168" s="140"/>
      <c r="Q168" s="140"/>
      <c r="R168" s="140"/>
      <c r="S168" s="140"/>
      <c r="T168" s="140"/>
      <c r="U168" s="140"/>
      <c r="V168" s="140"/>
      <c r="W168" s="140"/>
      <c r="X168" s="140"/>
      <c r="Y168" s="140"/>
      <c r="Z168" s="140"/>
      <c r="AA168" s="140"/>
    </row>
    <row r="169" spans="1:27" x14ac:dyDescent="0.25">
      <c r="A169" s="7">
        <v>106</v>
      </c>
      <c r="B169" t="s">
        <v>219</v>
      </c>
      <c r="C169" t="s">
        <v>190</v>
      </c>
      <c r="E169" t="s">
        <v>221</v>
      </c>
      <c r="F169" s="1">
        <v>44757</v>
      </c>
      <c r="G169">
        <v>3</v>
      </c>
      <c r="H169" t="s">
        <v>192</v>
      </c>
      <c r="K169" s="7">
        <f t="shared" si="5"/>
        <v>168</v>
      </c>
      <c r="L169" s="7">
        <f>_xlfn.XLOOKUP(E169,Plantas!$V$2:$V$96,Plantas!$U$2:$U$96,0,0)</f>
        <v>78</v>
      </c>
      <c r="M169" s="7" cm="1">
        <f t="array" ref="M169">_xlfn.XLOOKUP(C169,_xlfn.ANCHORARRAY($B$213),$A$213:$A$220,0,0)</f>
        <v>2</v>
      </c>
      <c r="N169" s="7">
        <f>_xlfn.XLOOKUP(H169,Unidades!$C$3:$C$8,Unidades!$B$3:$B$8,0,0)</f>
        <v>2</v>
      </c>
      <c r="O169" s="140" t="str">
        <f t="shared" si="4"/>
        <v>INSERT INTO Operacao(OperacaoID, CulturaID, ParcelaID, TipoOperacaoID, DataRealizacao, Quantidade, UnidadeID) VALUES (168, 78, 106, 2,TO_DATE('15/07/2022','dd/mm/yyyy'), 3, 2);</v>
      </c>
      <c r="P169" s="140"/>
      <c r="Q169" s="140"/>
      <c r="R169" s="140"/>
      <c r="S169" s="140"/>
      <c r="T169" s="140"/>
      <c r="U169" s="140"/>
      <c r="V169" s="140"/>
      <c r="W169" s="140"/>
      <c r="X169" s="140"/>
      <c r="Y169" s="140"/>
      <c r="Z169" s="140"/>
      <c r="AA169" s="140"/>
    </row>
    <row r="170" spans="1:27" x14ac:dyDescent="0.25">
      <c r="A170" s="7">
        <v>107</v>
      </c>
      <c r="B170" t="s">
        <v>245</v>
      </c>
      <c r="C170" t="s">
        <v>7</v>
      </c>
      <c r="E170" t="s">
        <v>246</v>
      </c>
      <c r="F170" s="1">
        <v>44757</v>
      </c>
      <c r="G170">
        <v>600</v>
      </c>
      <c r="H170" t="s">
        <v>217</v>
      </c>
      <c r="K170" s="7">
        <f t="shared" si="5"/>
        <v>169</v>
      </c>
      <c r="L170" s="7">
        <f>_xlfn.XLOOKUP(E170,Plantas!$V$2:$V$96,Plantas!$U$2:$U$96,0,0)</f>
        <v>94</v>
      </c>
      <c r="M170" s="7" cm="1">
        <f t="array" ref="M170">_xlfn.XLOOKUP(C170,_xlfn.ANCHORARRAY($B$213),$A$213:$A$220,0,0)</f>
        <v>7</v>
      </c>
      <c r="N170" s="7">
        <f>_xlfn.XLOOKUP(H170,Unidades!$C$3:$C$8,Unidades!$B$3:$B$8,0,0)</f>
        <v>3</v>
      </c>
      <c r="O170" s="140" t="str">
        <f t="shared" si="4"/>
        <v>INSERT INTO Operacao(OperacaoID, CulturaID, ParcelaID, TipoOperacaoID, DataRealizacao, Quantidade, UnidadeID) VALUES (169, 94, 107, 7,TO_DATE('15/07/2022','dd/mm/yyyy'), 600, 3);</v>
      </c>
      <c r="P170" s="140"/>
      <c r="Q170" s="140"/>
      <c r="R170" s="140"/>
      <c r="S170" s="140"/>
      <c r="T170" s="140"/>
      <c r="U170" s="140"/>
      <c r="V170" s="140"/>
      <c r="W170" s="140"/>
      <c r="X170" s="140"/>
      <c r="Y170" s="140"/>
      <c r="Z170" s="140"/>
      <c r="AA170" s="140"/>
    </row>
    <row r="171" spans="1:27" x14ac:dyDescent="0.25">
      <c r="A171" s="7">
        <v>107</v>
      </c>
      <c r="B171" t="s">
        <v>245</v>
      </c>
      <c r="C171" t="s">
        <v>7</v>
      </c>
      <c r="E171" t="s">
        <v>246</v>
      </c>
      <c r="F171" s="1">
        <v>44762</v>
      </c>
      <c r="G171">
        <v>500</v>
      </c>
      <c r="H171" t="s">
        <v>217</v>
      </c>
      <c r="K171" s="7">
        <f t="shared" si="5"/>
        <v>170</v>
      </c>
      <c r="L171" s="7">
        <f>_xlfn.XLOOKUP(E171,Plantas!$V$2:$V$96,Plantas!$U$2:$U$96,0,0)</f>
        <v>94</v>
      </c>
      <c r="M171" s="7" cm="1">
        <f t="array" ref="M171">_xlfn.XLOOKUP(C171,_xlfn.ANCHORARRAY($B$213),$A$213:$A$220,0,0)</f>
        <v>7</v>
      </c>
      <c r="N171" s="7">
        <f>_xlfn.XLOOKUP(H171,Unidades!$C$3:$C$8,Unidades!$B$3:$B$8,0,0)</f>
        <v>3</v>
      </c>
      <c r="O171" s="140" t="str">
        <f t="shared" si="4"/>
        <v>INSERT INTO Operacao(OperacaoID, CulturaID, ParcelaID, TipoOperacaoID, DataRealizacao, Quantidade, UnidadeID) VALUES (170, 94, 107, 7,TO_DATE('20/07/2022','dd/mm/yyyy'), 500, 3);</v>
      </c>
      <c r="P171" s="140"/>
      <c r="Q171" s="140"/>
      <c r="R171" s="140"/>
      <c r="S171" s="140"/>
      <c r="T171" s="140"/>
      <c r="U171" s="140"/>
      <c r="V171" s="140"/>
      <c r="W171" s="140"/>
      <c r="X171" s="140"/>
      <c r="Y171" s="140"/>
      <c r="Z171" s="140"/>
      <c r="AA171" s="140"/>
    </row>
    <row r="172" spans="1:27" x14ac:dyDescent="0.25">
      <c r="A172" s="7">
        <v>103</v>
      </c>
      <c r="B172" t="s">
        <v>180</v>
      </c>
      <c r="C172" t="s">
        <v>190</v>
      </c>
      <c r="E172" t="s">
        <v>238</v>
      </c>
      <c r="F172" s="1">
        <v>44766</v>
      </c>
      <c r="G172">
        <v>15</v>
      </c>
      <c r="H172" t="s">
        <v>192</v>
      </c>
      <c r="K172" s="7">
        <f t="shared" si="5"/>
        <v>171</v>
      </c>
      <c r="L172" s="7">
        <f>_xlfn.XLOOKUP(E172,Plantas!$V$2:$V$96,Plantas!$U$2:$U$96,0,0)</f>
        <v>82</v>
      </c>
      <c r="M172" s="7" cm="1">
        <f t="array" ref="M172">_xlfn.XLOOKUP(C172,_xlfn.ANCHORARRAY($B$213),$A$213:$A$220,0,0)</f>
        <v>2</v>
      </c>
      <c r="N172" s="7">
        <f>_xlfn.XLOOKUP(H172,Unidades!$C$3:$C$8,Unidades!$B$3:$B$8,0,0)</f>
        <v>2</v>
      </c>
      <c r="O172" s="140" t="str">
        <f t="shared" si="4"/>
        <v>INSERT INTO Operacao(OperacaoID, CulturaID, ParcelaID, TipoOperacaoID, DataRealizacao, Quantidade, UnidadeID) VALUES (171, 82, 103, 2,TO_DATE('24/07/2022','dd/mm/yyyy'), 15, 2);</v>
      </c>
      <c r="P172" s="140"/>
      <c r="Q172" s="140"/>
      <c r="R172" s="140"/>
      <c r="S172" s="140"/>
      <c r="T172" s="140"/>
      <c r="U172" s="140"/>
      <c r="V172" s="140"/>
      <c r="W172" s="140"/>
      <c r="X172" s="140"/>
      <c r="Y172" s="140"/>
      <c r="Z172" s="140"/>
      <c r="AA172" s="140"/>
    </row>
    <row r="173" spans="1:27" x14ac:dyDescent="0.25">
      <c r="A173" s="7">
        <v>104</v>
      </c>
      <c r="B173" t="s">
        <v>181</v>
      </c>
      <c r="C173" t="s">
        <v>190</v>
      </c>
      <c r="E173" t="s">
        <v>48</v>
      </c>
      <c r="F173" s="1">
        <v>44772</v>
      </c>
      <c r="G173">
        <v>5</v>
      </c>
      <c r="H173" t="s">
        <v>192</v>
      </c>
      <c r="K173" s="7">
        <f t="shared" si="5"/>
        <v>172</v>
      </c>
      <c r="L173" s="7">
        <f>_xlfn.XLOOKUP(E173,Plantas!$V$2:$V$96,Plantas!$U$2:$U$96,0,0)</f>
        <v>0</v>
      </c>
      <c r="M173" s="7" cm="1">
        <f t="array" ref="M173">_xlfn.XLOOKUP(C173,_xlfn.ANCHORARRAY($B$213),$A$213:$A$220,0,0)</f>
        <v>2</v>
      </c>
      <c r="N173" s="7">
        <f>_xlfn.XLOOKUP(H173,Unidades!$C$3:$C$8,Unidades!$B$3:$B$8,0,0)</f>
        <v>2</v>
      </c>
      <c r="O173" s="140" t="str">
        <f t="shared" si="4"/>
        <v>INSERT INTO Operacao(OperacaoID, CulturaID, ParcelaID, TipoOperacaoID, DataRealizacao, Quantidade, UnidadeID) VALUES (172, 0, 104, 2,TO_DATE('30/07/2022','dd/mm/yyyy'), 5, 2);</v>
      </c>
      <c r="P173" s="140"/>
      <c r="Q173" s="140"/>
      <c r="R173" s="140"/>
      <c r="S173" s="140"/>
      <c r="T173" s="140"/>
      <c r="U173" s="140"/>
      <c r="V173" s="140"/>
      <c r="W173" s="140"/>
      <c r="X173" s="140"/>
      <c r="Y173" s="140"/>
      <c r="Z173" s="140"/>
      <c r="AA173" s="140"/>
    </row>
    <row r="174" spans="1:27" x14ac:dyDescent="0.25">
      <c r="A174" s="7">
        <v>106</v>
      </c>
      <c r="B174" t="s">
        <v>219</v>
      </c>
      <c r="C174" t="s">
        <v>190</v>
      </c>
      <c r="E174" t="s">
        <v>221</v>
      </c>
      <c r="F174" s="1">
        <v>44772</v>
      </c>
      <c r="G174">
        <v>2.5</v>
      </c>
      <c r="H174" t="s">
        <v>192</v>
      </c>
      <c r="K174" s="7">
        <f t="shared" si="5"/>
        <v>173</v>
      </c>
      <c r="L174" s="7">
        <f>_xlfn.XLOOKUP(E174,Plantas!$V$2:$V$96,Plantas!$U$2:$U$96,0,0)</f>
        <v>78</v>
      </c>
      <c r="M174" s="7" cm="1">
        <f t="array" ref="M174">_xlfn.XLOOKUP(C174,_xlfn.ANCHORARRAY($B$213),$A$213:$A$220,0,0)</f>
        <v>2</v>
      </c>
      <c r="N174" s="7">
        <f>_xlfn.XLOOKUP(H174,Unidades!$C$3:$C$8,Unidades!$B$3:$B$8,0,0)</f>
        <v>2</v>
      </c>
      <c r="O174" s="140" t="str">
        <f t="shared" si="4"/>
        <v>INSERT INTO Operacao(OperacaoID, CulturaID, ParcelaID, TipoOperacaoID, DataRealizacao, Quantidade, UnidadeID) VALUES (173, 78, 106, 2,TO_DATE('30/07/2022','dd/mm/yyyy'), 2.5, 2);</v>
      </c>
      <c r="P174" s="140"/>
      <c r="Q174" s="140"/>
      <c r="R174" s="140"/>
      <c r="S174" s="140"/>
      <c r="T174" s="140"/>
      <c r="U174" s="140"/>
      <c r="V174" s="140"/>
      <c r="W174" s="140"/>
      <c r="X174" s="140"/>
      <c r="Y174" s="140"/>
      <c r="Z174" s="140"/>
      <c r="AA174" s="140"/>
    </row>
    <row r="175" spans="1:27" x14ac:dyDescent="0.25">
      <c r="A175" s="7">
        <v>103</v>
      </c>
      <c r="B175" t="s">
        <v>180</v>
      </c>
      <c r="C175" t="s">
        <v>190</v>
      </c>
      <c r="E175" t="s">
        <v>238</v>
      </c>
      <c r="F175" s="1">
        <v>44780</v>
      </c>
      <c r="G175">
        <v>15</v>
      </c>
      <c r="H175" t="s">
        <v>192</v>
      </c>
      <c r="K175" s="7">
        <f t="shared" si="5"/>
        <v>174</v>
      </c>
      <c r="L175" s="7">
        <f>_xlfn.XLOOKUP(E175,Plantas!$V$2:$V$96,Plantas!$U$2:$U$96,0,0)</f>
        <v>82</v>
      </c>
      <c r="M175" s="7" cm="1">
        <f t="array" ref="M175">_xlfn.XLOOKUP(C175,_xlfn.ANCHORARRAY($B$213),$A$213:$A$220,0,0)</f>
        <v>2</v>
      </c>
      <c r="N175" s="7">
        <f>_xlfn.XLOOKUP(H175,Unidades!$C$3:$C$8,Unidades!$B$3:$B$8,0,0)</f>
        <v>2</v>
      </c>
      <c r="O175" s="140" t="str">
        <f t="shared" si="4"/>
        <v>INSERT INTO Operacao(OperacaoID, CulturaID, ParcelaID, TipoOperacaoID, DataRealizacao, Quantidade, UnidadeID) VALUES (174, 82, 103, 2,TO_DATE('07/08/2022','dd/mm/yyyy'), 15, 2);</v>
      </c>
      <c r="P175" s="140"/>
      <c r="Q175" s="140"/>
      <c r="R175" s="140"/>
      <c r="S175" s="140"/>
      <c r="T175" s="140"/>
      <c r="U175" s="140"/>
      <c r="V175" s="140"/>
      <c r="W175" s="140"/>
      <c r="X175" s="140"/>
      <c r="Y175" s="140"/>
      <c r="Z175" s="140"/>
      <c r="AA175" s="140"/>
    </row>
    <row r="176" spans="1:27" x14ac:dyDescent="0.25">
      <c r="A176" s="7">
        <v>102</v>
      </c>
      <c r="B176" t="s">
        <v>198</v>
      </c>
      <c r="C176" t="s">
        <v>190</v>
      </c>
      <c r="E176" t="s">
        <v>201</v>
      </c>
      <c r="F176" s="1">
        <v>44783</v>
      </c>
      <c r="G176">
        <v>0.8</v>
      </c>
      <c r="H176" t="s">
        <v>192</v>
      </c>
      <c r="K176" s="7">
        <f t="shared" si="5"/>
        <v>175</v>
      </c>
      <c r="L176" s="7">
        <f>_xlfn.XLOOKUP(E176,Plantas!$V$2:$V$96,Plantas!$U$2:$U$96,0,0)</f>
        <v>89</v>
      </c>
      <c r="M176" s="7" cm="1">
        <f t="array" ref="M176">_xlfn.XLOOKUP(C176,_xlfn.ANCHORARRAY($B$213),$A$213:$A$220,0,0)</f>
        <v>2</v>
      </c>
      <c r="N176" s="7">
        <f>_xlfn.XLOOKUP(H176,Unidades!$C$3:$C$8,Unidades!$B$3:$B$8,0,0)</f>
        <v>2</v>
      </c>
      <c r="O176" s="140" t="str">
        <f t="shared" si="4"/>
        <v>INSERT INTO Operacao(OperacaoID, CulturaID, ParcelaID, TipoOperacaoID, DataRealizacao, Quantidade, UnidadeID) VALUES (175, 89, 102, 2,TO_DATE('10/08/2022','dd/mm/yyyy'), 0.8, 2);</v>
      </c>
      <c r="P176" s="140"/>
      <c r="Q176" s="140"/>
      <c r="R176" s="140"/>
      <c r="S176" s="140"/>
      <c r="T176" s="140"/>
      <c r="U176" s="140"/>
      <c r="V176" s="140"/>
      <c r="W176" s="140"/>
      <c r="X176" s="140"/>
      <c r="Y176" s="140"/>
      <c r="Z176" s="140"/>
      <c r="AA176" s="140"/>
    </row>
    <row r="177" spans="1:27" x14ac:dyDescent="0.25">
      <c r="A177" s="7">
        <v>102</v>
      </c>
      <c r="B177" t="s">
        <v>198</v>
      </c>
      <c r="C177" t="s">
        <v>190</v>
      </c>
      <c r="E177" t="s">
        <v>199</v>
      </c>
      <c r="F177" s="1">
        <v>44783</v>
      </c>
      <c r="G177">
        <v>1.5</v>
      </c>
      <c r="H177" t="s">
        <v>192</v>
      </c>
      <c r="K177" s="7">
        <f t="shared" si="5"/>
        <v>176</v>
      </c>
      <c r="L177" s="7">
        <f>_xlfn.XLOOKUP(E177,Plantas!$V$2:$V$96,Plantas!$U$2:$U$96,0,0)</f>
        <v>92</v>
      </c>
      <c r="M177" s="7" cm="1">
        <f t="array" ref="M177">_xlfn.XLOOKUP(C177,_xlfn.ANCHORARRAY($B$213),$A$213:$A$220,0,0)</f>
        <v>2</v>
      </c>
      <c r="N177" s="7">
        <f>_xlfn.XLOOKUP(H177,Unidades!$C$3:$C$8,Unidades!$B$3:$B$8,0,0)</f>
        <v>2</v>
      </c>
      <c r="O177" s="140" t="str">
        <f t="shared" si="4"/>
        <v>INSERT INTO Operacao(OperacaoID, CulturaID, ParcelaID, TipoOperacaoID, DataRealizacao, Quantidade, UnidadeID) VALUES (176, 92, 102, 2,TO_DATE('10/08/2022','dd/mm/yyyy'), 1.5, 2);</v>
      </c>
      <c r="P177" s="140"/>
      <c r="Q177" s="140"/>
      <c r="R177" s="140"/>
      <c r="S177" s="140"/>
      <c r="T177" s="140"/>
      <c r="U177" s="140"/>
      <c r="V177" s="140"/>
      <c r="W177" s="140"/>
      <c r="X177" s="140"/>
      <c r="Y177" s="140"/>
      <c r="Z177" s="140"/>
      <c r="AA177" s="140"/>
    </row>
    <row r="178" spans="1:27" x14ac:dyDescent="0.25">
      <c r="A178" s="7">
        <v>107</v>
      </c>
      <c r="B178" t="s">
        <v>245</v>
      </c>
      <c r="C178" t="s">
        <v>7</v>
      </c>
      <c r="E178" t="s">
        <v>250</v>
      </c>
      <c r="F178" s="1">
        <v>44785</v>
      </c>
      <c r="G178">
        <v>1200</v>
      </c>
      <c r="H178" t="s">
        <v>217</v>
      </c>
      <c r="K178" s="7">
        <f t="shared" si="5"/>
        <v>177</v>
      </c>
      <c r="L178" s="7">
        <f>_xlfn.XLOOKUP(E178,Plantas!$V$2:$V$96,Plantas!$U$2:$U$96,0,0)</f>
        <v>95</v>
      </c>
      <c r="M178" s="7" cm="1">
        <f t="array" ref="M178">_xlfn.XLOOKUP(C178,_xlfn.ANCHORARRAY($B$213),$A$213:$A$220,0,0)</f>
        <v>7</v>
      </c>
      <c r="N178" s="7">
        <f>_xlfn.XLOOKUP(H178,Unidades!$C$3:$C$8,Unidades!$B$3:$B$8,0,0)</f>
        <v>3</v>
      </c>
      <c r="O178" s="140" t="str">
        <f t="shared" si="4"/>
        <v>INSERT INTO Operacao(OperacaoID, CulturaID, ParcelaID, TipoOperacaoID, DataRealizacao, Quantidade, UnidadeID) VALUES (177, 95, 107, 7,TO_DATE('12/08/2022','dd/mm/yyyy'), 1200, 3);</v>
      </c>
      <c r="P178" s="140"/>
      <c r="Q178" s="140"/>
      <c r="R178" s="140"/>
      <c r="S178" s="140"/>
      <c r="T178" s="140"/>
      <c r="U178" s="140"/>
      <c r="V178" s="140"/>
      <c r="W178" s="140"/>
      <c r="X178" s="140"/>
      <c r="Y178" s="140"/>
      <c r="Z178" s="140"/>
      <c r="AA178" s="140"/>
    </row>
    <row r="179" spans="1:27" x14ac:dyDescent="0.25">
      <c r="A179" s="7">
        <v>107</v>
      </c>
      <c r="B179" t="s">
        <v>245</v>
      </c>
      <c r="C179" t="s">
        <v>7</v>
      </c>
      <c r="E179" t="s">
        <v>250</v>
      </c>
      <c r="F179" s="1">
        <v>44785</v>
      </c>
      <c r="G179">
        <v>600</v>
      </c>
      <c r="H179" t="s">
        <v>217</v>
      </c>
      <c r="K179" s="7">
        <f t="shared" si="5"/>
        <v>178</v>
      </c>
      <c r="L179" s="7">
        <f>_xlfn.XLOOKUP(E179,Plantas!$V$2:$V$96,Plantas!$U$2:$U$96,0,0)</f>
        <v>95</v>
      </c>
      <c r="M179" s="7" cm="1">
        <f t="array" ref="M179">_xlfn.XLOOKUP(C179,_xlfn.ANCHORARRAY($B$213),$A$213:$A$220,0,0)</f>
        <v>7</v>
      </c>
      <c r="N179" s="7">
        <f>_xlfn.XLOOKUP(H179,Unidades!$C$3:$C$8,Unidades!$B$3:$B$8,0,0)</f>
        <v>3</v>
      </c>
      <c r="O179" s="140" t="str">
        <f t="shared" si="4"/>
        <v>INSERT INTO Operacao(OperacaoID, CulturaID, ParcelaID, TipoOperacaoID, DataRealizacao, Quantidade, UnidadeID) VALUES (178, 95, 107, 7,TO_DATE('12/08/2022','dd/mm/yyyy'), 600, 3);</v>
      </c>
      <c r="P179" s="140"/>
      <c r="Q179" s="140"/>
      <c r="R179" s="140"/>
      <c r="S179" s="140"/>
      <c r="T179" s="140"/>
      <c r="U179" s="140"/>
      <c r="V179" s="140"/>
      <c r="W179" s="140"/>
      <c r="X179" s="140"/>
      <c r="Y179" s="140"/>
      <c r="Z179" s="140"/>
      <c r="AA179" s="140"/>
    </row>
    <row r="180" spans="1:27" x14ac:dyDescent="0.25">
      <c r="A180" s="7">
        <v>101</v>
      </c>
      <c r="B180" t="s">
        <v>177</v>
      </c>
      <c r="C180" t="s">
        <v>7</v>
      </c>
      <c r="E180" t="s">
        <v>206</v>
      </c>
      <c r="F180" s="1">
        <v>44790</v>
      </c>
      <c r="G180">
        <v>3500</v>
      </c>
      <c r="H180" t="s">
        <v>217</v>
      </c>
      <c r="K180" s="7">
        <f t="shared" si="5"/>
        <v>179</v>
      </c>
      <c r="L180" s="7">
        <f>_xlfn.XLOOKUP(E180,Plantas!$V$2:$V$96,Plantas!$U$2:$U$96,0,0)</f>
        <v>83</v>
      </c>
      <c r="M180" s="7" cm="1">
        <f t="array" ref="M180">_xlfn.XLOOKUP(C180,_xlfn.ANCHORARRAY($B$213),$A$213:$A$220,0,0)</f>
        <v>7</v>
      </c>
      <c r="N180" s="7">
        <f>_xlfn.XLOOKUP(H180,Unidades!$C$3:$C$8,Unidades!$B$3:$B$8,0,0)</f>
        <v>3</v>
      </c>
      <c r="O180" s="140" t="str">
        <f t="shared" si="4"/>
        <v>INSERT INTO Operacao(OperacaoID, CulturaID, ParcelaID, TipoOperacaoID, DataRealizacao, Quantidade, UnidadeID) VALUES (179, 83, 101, 7,TO_DATE('17/08/2022','dd/mm/yyyy'), 3500, 3);</v>
      </c>
      <c r="P180" s="140"/>
      <c r="Q180" s="140"/>
      <c r="R180" s="140"/>
      <c r="S180" s="140"/>
      <c r="T180" s="140"/>
      <c r="U180" s="140"/>
      <c r="V180" s="140"/>
      <c r="W180" s="140"/>
      <c r="X180" s="140"/>
      <c r="Y180" s="140"/>
      <c r="Z180" s="140"/>
      <c r="AA180" s="140"/>
    </row>
    <row r="181" spans="1:27" x14ac:dyDescent="0.25">
      <c r="A181" s="7">
        <v>106</v>
      </c>
      <c r="B181" t="s">
        <v>219</v>
      </c>
      <c r="C181" t="s">
        <v>190</v>
      </c>
      <c r="E181" t="s">
        <v>221</v>
      </c>
      <c r="F181" s="1">
        <v>44790</v>
      </c>
      <c r="G181">
        <v>3</v>
      </c>
      <c r="H181" t="s">
        <v>192</v>
      </c>
      <c r="K181" s="7">
        <f t="shared" si="5"/>
        <v>180</v>
      </c>
      <c r="L181" s="7">
        <f>_xlfn.XLOOKUP(E181,Plantas!$V$2:$V$96,Plantas!$U$2:$U$96,0,0)</f>
        <v>78</v>
      </c>
      <c r="M181" s="7" cm="1">
        <f t="array" ref="M181">_xlfn.XLOOKUP(C181,_xlfn.ANCHORARRAY($B$213),$A$213:$A$220,0,0)</f>
        <v>2</v>
      </c>
      <c r="N181" s="7">
        <f>_xlfn.XLOOKUP(H181,Unidades!$C$3:$C$8,Unidades!$B$3:$B$8,0,0)</f>
        <v>2</v>
      </c>
      <c r="O181" s="140" t="str">
        <f t="shared" si="4"/>
        <v>INSERT INTO Operacao(OperacaoID, CulturaID, ParcelaID, TipoOperacaoID, DataRealizacao, Quantidade, UnidadeID) VALUES (180, 78, 106, 2,TO_DATE('17/08/2022','dd/mm/yyyy'), 3, 2);</v>
      </c>
      <c r="P181" s="140"/>
      <c r="Q181" s="140"/>
      <c r="R181" s="140"/>
      <c r="S181" s="140"/>
      <c r="T181" s="140"/>
      <c r="U181" s="140"/>
      <c r="V181" s="140"/>
      <c r="W181" s="140"/>
      <c r="X181" s="140"/>
      <c r="Y181" s="140"/>
      <c r="Z181" s="140"/>
      <c r="AA181" s="140"/>
    </row>
    <row r="182" spans="1:27" x14ac:dyDescent="0.25">
      <c r="A182" s="7">
        <v>103</v>
      </c>
      <c r="B182" t="s">
        <v>180</v>
      </c>
      <c r="C182" t="s">
        <v>7</v>
      </c>
      <c r="E182" t="s">
        <v>238</v>
      </c>
      <c r="F182" s="1">
        <v>44791</v>
      </c>
      <c r="G182">
        <v>3300</v>
      </c>
      <c r="H182" t="s">
        <v>217</v>
      </c>
      <c r="K182" s="7">
        <f t="shared" si="5"/>
        <v>181</v>
      </c>
      <c r="L182" s="7">
        <f>_xlfn.XLOOKUP(E182,Plantas!$V$2:$V$96,Plantas!$U$2:$U$96,0,0)</f>
        <v>82</v>
      </c>
      <c r="M182" s="7" cm="1">
        <f t="array" ref="M182">_xlfn.XLOOKUP(C182,_xlfn.ANCHORARRAY($B$213),$A$213:$A$220,0,0)</f>
        <v>7</v>
      </c>
      <c r="N182" s="7">
        <f>_xlfn.XLOOKUP(H182,Unidades!$C$3:$C$8,Unidades!$B$3:$B$8,0,0)</f>
        <v>3</v>
      </c>
      <c r="O182" s="140" t="str">
        <f t="shared" si="4"/>
        <v>INSERT INTO Operacao(OperacaoID, CulturaID, ParcelaID, TipoOperacaoID, DataRealizacao, Quantidade, UnidadeID) VALUES (181, 82, 103, 7,TO_DATE('18/08/2022','dd/mm/yyyy'), 3300, 3);</v>
      </c>
      <c r="P182" s="140"/>
      <c r="Q182" s="140"/>
      <c r="R182" s="140"/>
      <c r="S182" s="140"/>
      <c r="T182" s="140"/>
      <c r="U182" s="140"/>
      <c r="V182" s="140"/>
      <c r="W182" s="140"/>
      <c r="X182" s="140"/>
      <c r="Y182" s="140"/>
      <c r="Z182" s="140"/>
      <c r="AA182" s="140"/>
    </row>
    <row r="183" spans="1:27" x14ac:dyDescent="0.25">
      <c r="A183" s="7">
        <v>104</v>
      </c>
      <c r="B183" t="s">
        <v>181</v>
      </c>
      <c r="C183" t="s">
        <v>7</v>
      </c>
      <c r="E183" t="s">
        <v>204</v>
      </c>
      <c r="F183" s="1">
        <v>44793</v>
      </c>
      <c r="G183">
        <v>950</v>
      </c>
      <c r="H183" t="s">
        <v>217</v>
      </c>
      <c r="K183" s="7">
        <f t="shared" si="5"/>
        <v>182</v>
      </c>
      <c r="L183" s="7">
        <f>_xlfn.XLOOKUP(E183,Plantas!$V$2:$V$96,Plantas!$U$2:$U$96,0,0)</f>
        <v>48</v>
      </c>
      <c r="M183" s="7" cm="1">
        <f t="array" ref="M183">_xlfn.XLOOKUP(C183,_xlfn.ANCHORARRAY($B$213),$A$213:$A$220,0,0)</f>
        <v>7</v>
      </c>
      <c r="N183" s="7">
        <f>_xlfn.XLOOKUP(H183,Unidades!$C$3:$C$8,Unidades!$B$3:$B$8,0,0)</f>
        <v>3</v>
      </c>
      <c r="O183" s="140" t="str">
        <f t="shared" si="4"/>
        <v>INSERT INTO Operacao(OperacaoID, CulturaID, ParcelaID, TipoOperacaoID, DataRealizacao, Quantidade, UnidadeID) VALUES (182, 48, 104, 7,TO_DATE('20/08/2022','dd/mm/yyyy'), 950, 3);</v>
      </c>
      <c r="P183" s="140"/>
      <c r="Q183" s="140"/>
      <c r="R183" s="140"/>
      <c r="S183" s="140"/>
      <c r="T183" s="140"/>
      <c r="U183" s="140"/>
      <c r="V183" s="140"/>
      <c r="W183" s="140"/>
      <c r="X183" s="140"/>
      <c r="Y183" s="140"/>
      <c r="Z183" s="140"/>
      <c r="AA183" s="140"/>
    </row>
    <row r="184" spans="1:27" x14ac:dyDescent="0.25">
      <c r="A184" s="7">
        <v>106</v>
      </c>
      <c r="B184" t="s">
        <v>219</v>
      </c>
      <c r="C184" t="s">
        <v>7</v>
      </c>
      <c r="E184" t="s">
        <v>221</v>
      </c>
      <c r="F184" s="1">
        <v>44797</v>
      </c>
      <c r="G184">
        <v>650</v>
      </c>
      <c r="H184" t="s">
        <v>217</v>
      </c>
      <c r="K184" s="7">
        <f t="shared" si="5"/>
        <v>183</v>
      </c>
      <c r="L184" s="7">
        <f>_xlfn.XLOOKUP(E184,Plantas!$V$2:$V$96,Plantas!$U$2:$U$96,0,0)</f>
        <v>78</v>
      </c>
      <c r="M184" s="7" cm="1">
        <f t="array" ref="M184">_xlfn.XLOOKUP(C184,_xlfn.ANCHORARRAY($B$213),$A$213:$A$220,0,0)</f>
        <v>7</v>
      </c>
      <c r="N184" s="7">
        <f>_xlfn.XLOOKUP(H184,Unidades!$C$3:$C$8,Unidades!$B$3:$B$8,0,0)</f>
        <v>3</v>
      </c>
      <c r="O184" s="140" t="str">
        <f t="shared" si="4"/>
        <v>INSERT INTO Operacao(OperacaoID, CulturaID, ParcelaID, TipoOperacaoID, DataRealizacao, Quantidade, UnidadeID) VALUES (183, 78, 106, 7,TO_DATE('24/08/2022','dd/mm/yyyy'), 650, 3);</v>
      </c>
      <c r="P184" s="140"/>
      <c r="Q184" s="140"/>
      <c r="R184" s="140"/>
      <c r="S184" s="140"/>
      <c r="T184" s="140"/>
      <c r="U184" s="140"/>
      <c r="V184" s="140"/>
      <c r="W184" s="140"/>
      <c r="X184" s="140"/>
      <c r="Y184" s="140"/>
      <c r="Z184" s="140"/>
      <c r="AA184" s="140"/>
    </row>
    <row r="185" spans="1:27" x14ac:dyDescent="0.25">
      <c r="A185" s="7">
        <v>106</v>
      </c>
      <c r="B185" t="s">
        <v>219</v>
      </c>
      <c r="C185" t="s">
        <v>7</v>
      </c>
      <c r="E185" t="s">
        <v>221</v>
      </c>
      <c r="F185" s="1">
        <v>44809</v>
      </c>
      <c r="G185">
        <v>1900</v>
      </c>
      <c r="H185" t="s">
        <v>217</v>
      </c>
      <c r="K185" s="7">
        <f t="shared" si="5"/>
        <v>184</v>
      </c>
      <c r="L185" s="7">
        <f>_xlfn.XLOOKUP(E185,Plantas!$V$2:$V$96,Plantas!$U$2:$U$96,0,0)</f>
        <v>78</v>
      </c>
      <c r="M185" s="7" cm="1">
        <f t="array" ref="M185">_xlfn.XLOOKUP(C185,_xlfn.ANCHORARRAY($B$213),$A$213:$A$220,0,0)</f>
        <v>7</v>
      </c>
      <c r="N185" s="7">
        <f>_xlfn.XLOOKUP(H185,Unidades!$C$3:$C$8,Unidades!$B$3:$B$8,0,0)</f>
        <v>3</v>
      </c>
      <c r="O185" s="140" t="str">
        <f t="shared" si="4"/>
        <v>INSERT INTO Operacao(OperacaoID, CulturaID, ParcelaID, TipoOperacaoID, DataRealizacao, Quantidade, UnidadeID) VALUES (184, 78, 106, 7,TO_DATE('05/09/2022','dd/mm/yyyy'), 1900, 3);</v>
      </c>
      <c r="P185" s="140"/>
      <c r="Q185" s="140"/>
      <c r="R185" s="140"/>
      <c r="S185" s="140"/>
      <c r="T185" s="140"/>
      <c r="U185" s="140"/>
      <c r="V185" s="140"/>
      <c r="W185" s="140"/>
      <c r="X185" s="140"/>
      <c r="Y185" s="140"/>
      <c r="Z185" s="140"/>
      <c r="AA185" s="140"/>
    </row>
    <row r="186" spans="1:27" x14ac:dyDescent="0.25">
      <c r="A186" s="7">
        <v>104</v>
      </c>
      <c r="B186" t="s">
        <v>181</v>
      </c>
      <c r="C186" t="s">
        <v>7</v>
      </c>
      <c r="E186" t="s">
        <v>204</v>
      </c>
      <c r="F186" s="1">
        <v>44811</v>
      </c>
      <c r="G186">
        <v>830</v>
      </c>
      <c r="H186" t="s">
        <v>217</v>
      </c>
      <c r="K186" s="7">
        <f t="shared" si="5"/>
        <v>185</v>
      </c>
      <c r="L186" s="7">
        <f>_xlfn.XLOOKUP(E186,Plantas!$V$2:$V$96,Plantas!$U$2:$U$96,0,0)</f>
        <v>48</v>
      </c>
      <c r="M186" s="7" cm="1">
        <f t="array" ref="M186">_xlfn.XLOOKUP(C186,_xlfn.ANCHORARRAY($B$213),$A$213:$A$220,0,0)</f>
        <v>7</v>
      </c>
      <c r="N186" s="7">
        <f>_xlfn.XLOOKUP(H186,Unidades!$C$3:$C$8,Unidades!$B$3:$B$8,0,0)</f>
        <v>3</v>
      </c>
      <c r="O186" s="140" t="str">
        <f t="shared" si="4"/>
        <v>INSERT INTO Operacao(OperacaoID, CulturaID, ParcelaID, TipoOperacaoID, DataRealizacao, Quantidade, UnidadeID) VALUES (185, 48, 104, 7,TO_DATE('07/09/2022','dd/mm/yyyy'), 830, 3);</v>
      </c>
      <c r="P186" s="140"/>
      <c r="Q186" s="140"/>
      <c r="R186" s="140"/>
      <c r="S186" s="140"/>
      <c r="T186" s="140"/>
      <c r="U186" s="140"/>
      <c r="V186" s="140"/>
      <c r="W186" s="140"/>
      <c r="X186" s="140"/>
      <c r="Y186" s="140"/>
      <c r="Z186" s="140"/>
      <c r="AA186" s="140"/>
    </row>
    <row r="187" spans="1:27" x14ac:dyDescent="0.25">
      <c r="A187" s="7">
        <v>104</v>
      </c>
      <c r="B187" t="s">
        <v>181</v>
      </c>
      <c r="C187" t="s">
        <v>7</v>
      </c>
      <c r="E187" t="s">
        <v>202</v>
      </c>
      <c r="F187" s="1">
        <v>44815</v>
      </c>
      <c r="G187">
        <v>750</v>
      </c>
      <c r="H187" t="s">
        <v>217</v>
      </c>
      <c r="K187" s="7">
        <f t="shared" si="5"/>
        <v>186</v>
      </c>
      <c r="L187" s="7">
        <f>_xlfn.XLOOKUP(E187,Plantas!$V$2:$V$96,Plantas!$U$2:$U$96,0,0)</f>
        <v>41</v>
      </c>
      <c r="M187" s="7" cm="1">
        <f t="array" ref="M187">_xlfn.XLOOKUP(C187,_xlfn.ANCHORARRAY($B$213),$A$213:$A$220,0,0)</f>
        <v>7</v>
      </c>
      <c r="N187" s="7">
        <f>_xlfn.XLOOKUP(H187,Unidades!$C$3:$C$8,Unidades!$B$3:$B$8,0,0)</f>
        <v>3</v>
      </c>
      <c r="O187" s="140" t="str">
        <f t="shared" si="4"/>
        <v>INSERT INTO Operacao(OperacaoID, CulturaID, ParcelaID, TipoOperacaoID, DataRealizacao, Quantidade, UnidadeID) VALUES (186, 41, 104, 7,TO_DATE('11/09/2022','dd/mm/yyyy'), 750, 3);</v>
      </c>
      <c r="P187" s="140"/>
      <c r="Q187" s="140"/>
      <c r="R187" s="140"/>
      <c r="S187" s="140"/>
      <c r="T187" s="140"/>
      <c r="U187" s="140"/>
      <c r="V187" s="140"/>
      <c r="W187" s="140"/>
      <c r="X187" s="140"/>
      <c r="Y187" s="140"/>
      <c r="Z187" s="140"/>
      <c r="AA187" s="140"/>
    </row>
    <row r="188" spans="1:27" x14ac:dyDescent="0.25">
      <c r="A188" s="7">
        <v>104</v>
      </c>
      <c r="B188" t="s">
        <v>181</v>
      </c>
      <c r="C188" t="s">
        <v>7</v>
      </c>
      <c r="E188" t="s">
        <v>202</v>
      </c>
      <c r="F188" s="1">
        <v>44824</v>
      </c>
      <c r="G188">
        <v>1150</v>
      </c>
      <c r="H188" t="s">
        <v>217</v>
      </c>
      <c r="K188" s="7">
        <f t="shared" si="5"/>
        <v>187</v>
      </c>
      <c r="L188" s="7">
        <f>_xlfn.XLOOKUP(E188,Plantas!$V$2:$V$96,Plantas!$U$2:$U$96,0,0)</f>
        <v>41</v>
      </c>
      <c r="M188" s="7" cm="1">
        <f t="array" ref="M188">_xlfn.XLOOKUP(C188,_xlfn.ANCHORARRAY($B$213),$A$213:$A$220,0,0)</f>
        <v>7</v>
      </c>
      <c r="N188" s="7">
        <f>_xlfn.XLOOKUP(H188,Unidades!$C$3:$C$8,Unidades!$B$3:$B$8,0,0)</f>
        <v>3</v>
      </c>
      <c r="O188" s="140" t="str">
        <f t="shared" si="4"/>
        <v>INSERT INTO Operacao(OperacaoID, CulturaID, ParcelaID, TipoOperacaoID, DataRealizacao, Quantidade, UnidadeID) VALUES (187, 41, 104, 7,TO_DATE('20/09/2022','dd/mm/yyyy'), 1150, 3);</v>
      </c>
      <c r="P188" s="140"/>
      <c r="Q188" s="140"/>
      <c r="R188" s="140"/>
      <c r="S188" s="140"/>
      <c r="T188" s="140"/>
      <c r="U188" s="140"/>
      <c r="V188" s="140"/>
      <c r="W188" s="140"/>
      <c r="X188" s="140"/>
      <c r="Y188" s="140"/>
      <c r="Z188" s="140"/>
      <c r="AA188" s="140"/>
    </row>
    <row r="189" spans="1:27" x14ac:dyDescent="0.25">
      <c r="A189" s="7">
        <v>106</v>
      </c>
      <c r="B189" t="s">
        <v>219</v>
      </c>
      <c r="C189" t="s">
        <v>213</v>
      </c>
      <c r="E189" t="s">
        <v>237</v>
      </c>
      <c r="F189" s="1">
        <v>44824</v>
      </c>
      <c r="G189">
        <v>0.6</v>
      </c>
      <c r="H189" t="s">
        <v>217</v>
      </c>
      <c r="K189" s="7">
        <f t="shared" si="5"/>
        <v>188</v>
      </c>
      <c r="L189" s="7">
        <f>_xlfn.XLOOKUP(E189,Plantas!$V$2:$V$96,Plantas!$U$2:$U$96,0,0)</f>
        <v>84</v>
      </c>
      <c r="M189" s="7" cm="1">
        <f t="array" ref="M189">_xlfn.XLOOKUP(C189,_xlfn.ANCHORARRAY($B$213),$A$213:$A$220,0,0)</f>
        <v>6</v>
      </c>
      <c r="N189" s="7">
        <f>_xlfn.XLOOKUP(H189,Unidades!$C$3:$C$8,Unidades!$B$3:$B$8,0,0)</f>
        <v>3</v>
      </c>
      <c r="O189" s="140" t="str">
        <f t="shared" si="4"/>
        <v>INSERT INTO Operacao(OperacaoID, CulturaID, ParcelaID, TipoOperacaoID, DataRealizacao, Quantidade, UnidadeID) VALUES (188, 84, 106, 6,TO_DATE('20/09/2022','dd/mm/yyyy'), 0.6, 3);</v>
      </c>
      <c r="P189" s="140"/>
      <c r="Q189" s="140"/>
      <c r="R189" s="140"/>
      <c r="S189" s="140"/>
      <c r="T189" s="140"/>
      <c r="U189" s="140"/>
      <c r="V189" s="140"/>
      <c r="W189" s="140"/>
      <c r="X189" s="140"/>
      <c r="Y189" s="140"/>
      <c r="Z189" s="140"/>
      <c r="AA189" s="140"/>
    </row>
    <row r="190" spans="1:27" x14ac:dyDescent="0.25">
      <c r="A190" s="7">
        <v>103</v>
      </c>
      <c r="B190" t="s">
        <v>180</v>
      </c>
      <c r="C190" t="s">
        <v>213</v>
      </c>
      <c r="E190" t="s">
        <v>205</v>
      </c>
      <c r="F190" s="1">
        <v>44846</v>
      </c>
      <c r="G190">
        <v>1.3</v>
      </c>
      <c r="H190" t="s">
        <v>178</v>
      </c>
      <c r="K190" s="7">
        <f t="shared" si="5"/>
        <v>189</v>
      </c>
      <c r="L190" s="7">
        <f>_xlfn.XLOOKUP(E190,Plantas!$V$2:$V$96,Plantas!$U$2:$U$96,0,0)</f>
        <v>80</v>
      </c>
      <c r="M190" s="7" cm="1">
        <f t="array" ref="M190">_xlfn.XLOOKUP(C190,_xlfn.ANCHORARRAY($B$213),$A$213:$A$220,0,0)</f>
        <v>6</v>
      </c>
      <c r="N190" s="7">
        <f>_xlfn.XLOOKUP(H190,Unidades!$C$3:$C$8,Unidades!$B$3:$B$8,0,0)</f>
        <v>4</v>
      </c>
      <c r="O190" s="140" t="str">
        <f t="shared" si="4"/>
        <v>INSERT INTO Operacao(OperacaoID, CulturaID, ParcelaID, TipoOperacaoID, DataRealizacao, Quantidade, UnidadeID) VALUES (189, 80, 103, 6,TO_DATE('12/10/2022','dd/mm/yyyy'), 1.3, 4);</v>
      </c>
      <c r="P190" s="140"/>
      <c r="Q190" s="140"/>
      <c r="R190" s="140"/>
      <c r="S190" s="140"/>
      <c r="T190" s="140"/>
      <c r="U190" s="140"/>
      <c r="V190" s="140"/>
      <c r="W190" s="140"/>
      <c r="X190" s="140"/>
      <c r="Y190" s="140"/>
      <c r="Z190" s="140"/>
      <c r="AA190" s="140"/>
    </row>
    <row r="191" spans="1:27" x14ac:dyDescent="0.25">
      <c r="A191" s="7">
        <v>104</v>
      </c>
      <c r="B191" t="s">
        <v>181</v>
      </c>
      <c r="C191" t="s">
        <v>7</v>
      </c>
      <c r="E191" t="s">
        <v>203</v>
      </c>
      <c r="F191" s="1">
        <v>44851</v>
      </c>
      <c r="G191">
        <v>850</v>
      </c>
      <c r="H191" t="s">
        <v>217</v>
      </c>
      <c r="K191" s="7">
        <f t="shared" si="5"/>
        <v>190</v>
      </c>
      <c r="L191" s="7">
        <f>_xlfn.XLOOKUP(E191,Plantas!$V$2:$V$96,Plantas!$U$2:$U$96,0,0)</f>
        <v>37</v>
      </c>
      <c r="M191" s="7" cm="1">
        <f t="array" ref="M191">_xlfn.XLOOKUP(C191,_xlfn.ANCHORARRAY($B$213),$A$213:$A$220,0,0)</f>
        <v>7</v>
      </c>
      <c r="N191" s="7">
        <f>_xlfn.XLOOKUP(H191,Unidades!$C$3:$C$8,Unidades!$B$3:$B$8,0,0)</f>
        <v>3</v>
      </c>
      <c r="O191" s="140" t="str">
        <f t="shared" si="4"/>
        <v>INSERT INTO Operacao(OperacaoID, CulturaID, ParcelaID, TipoOperacaoID, DataRealizacao, Quantidade, UnidadeID) VALUES (190, 37, 104, 7,TO_DATE('17/10/2022','dd/mm/yyyy'), 850, 3);</v>
      </c>
      <c r="P191" s="140"/>
      <c r="Q191" s="140"/>
      <c r="R191" s="140"/>
      <c r="S191" s="140"/>
      <c r="T191" s="140"/>
      <c r="U191" s="140"/>
      <c r="V191" s="140"/>
      <c r="W191" s="140"/>
      <c r="X191" s="140"/>
      <c r="Y191" s="140"/>
      <c r="Z191" s="140"/>
      <c r="AA191" s="140"/>
    </row>
    <row r="192" spans="1:27" x14ac:dyDescent="0.25">
      <c r="A192" s="7">
        <v>104</v>
      </c>
      <c r="B192" t="s">
        <v>181</v>
      </c>
      <c r="C192" t="s">
        <v>7</v>
      </c>
      <c r="E192" t="s">
        <v>203</v>
      </c>
      <c r="F192" s="1">
        <v>44871</v>
      </c>
      <c r="G192">
        <v>900</v>
      </c>
      <c r="H192" t="s">
        <v>217</v>
      </c>
      <c r="K192" s="7">
        <f t="shared" si="5"/>
        <v>191</v>
      </c>
      <c r="L192" s="7">
        <f>_xlfn.XLOOKUP(E192,Plantas!$V$2:$V$96,Plantas!$U$2:$U$96,0,0)</f>
        <v>37</v>
      </c>
      <c r="M192" s="7" cm="1">
        <f t="array" ref="M192">_xlfn.XLOOKUP(C192,_xlfn.ANCHORARRAY($B$213),$A$213:$A$220,0,0)</f>
        <v>7</v>
      </c>
      <c r="N192" s="7">
        <f>_xlfn.XLOOKUP(H192,Unidades!$C$3:$C$8,Unidades!$B$3:$B$8,0,0)</f>
        <v>3</v>
      </c>
      <c r="O192" s="140" t="str">
        <f t="shared" si="4"/>
        <v>INSERT INTO Operacao(OperacaoID, CulturaID, ParcelaID, TipoOperacaoID, DataRealizacao, Quantidade, UnidadeID) VALUES (191, 37, 104, 7,TO_DATE('06/11/2022','dd/mm/yyyy'), 900, 3);</v>
      </c>
      <c r="P192" s="140"/>
      <c r="Q192" s="140"/>
      <c r="R192" s="140"/>
      <c r="S192" s="140"/>
      <c r="T192" s="140"/>
      <c r="U192" s="140"/>
      <c r="V192" s="140"/>
      <c r="W192" s="140"/>
      <c r="X192" s="140"/>
      <c r="Y192" s="140"/>
      <c r="Z192" s="140"/>
      <c r="AA192" s="140"/>
    </row>
    <row r="193" spans="1:27" x14ac:dyDescent="0.25">
      <c r="A193" s="7">
        <v>102</v>
      </c>
      <c r="B193" t="s">
        <v>198</v>
      </c>
      <c r="C193" t="s">
        <v>5</v>
      </c>
      <c r="E193" t="s">
        <v>199</v>
      </c>
      <c r="F193" s="1">
        <v>44875</v>
      </c>
      <c r="G193">
        <v>30</v>
      </c>
      <c r="H193" t="s">
        <v>200</v>
      </c>
      <c r="K193" s="7">
        <f t="shared" si="5"/>
        <v>192</v>
      </c>
      <c r="L193" s="7">
        <f>_xlfn.XLOOKUP(E193,Plantas!$V$2:$V$96,Plantas!$U$2:$U$96,0,0)</f>
        <v>92</v>
      </c>
      <c r="M193" s="7" cm="1">
        <f t="array" ref="M193">_xlfn.XLOOKUP(C193,_xlfn.ANCHORARRAY($B$213),$A$213:$A$220,0,0)</f>
        <v>3</v>
      </c>
      <c r="N193" s="7">
        <f>_xlfn.XLOOKUP(H193,Unidades!$C$3:$C$8,Unidades!$B$3:$B$8,0,0)</f>
        <v>1</v>
      </c>
      <c r="O193" s="140" t="str">
        <f t="shared" si="4"/>
        <v>INSERT INTO Operacao(OperacaoID, CulturaID, ParcelaID, TipoOperacaoID, DataRealizacao, Quantidade, UnidadeID) VALUES (192, 92, 102, 3,TO_DATE('10/11/2022','dd/mm/yyyy'), 30, 1);</v>
      </c>
      <c r="P193" s="140"/>
      <c r="Q193" s="140"/>
      <c r="R193" s="140"/>
      <c r="S193" s="140"/>
      <c r="T193" s="140"/>
      <c r="U193" s="140"/>
      <c r="V193" s="140"/>
      <c r="W193" s="140"/>
      <c r="X193" s="140"/>
      <c r="Y193" s="140"/>
      <c r="Z193" s="140"/>
      <c r="AA193" s="140"/>
    </row>
    <row r="194" spans="1:27" x14ac:dyDescent="0.25">
      <c r="A194" s="7">
        <v>102</v>
      </c>
      <c r="B194" t="s">
        <v>198</v>
      </c>
      <c r="C194" t="s">
        <v>5</v>
      </c>
      <c r="E194" t="s">
        <v>201</v>
      </c>
      <c r="F194" s="1">
        <v>44875</v>
      </c>
      <c r="G194">
        <v>20</v>
      </c>
      <c r="H194" t="s">
        <v>200</v>
      </c>
      <c r="K194" s="7">
        <f t="shared" si="5"/>
        <v>193</v>
      </c>
      <c r="L194" s="7">
        <f>_xlfn.XLOOKUP(E194,Plantas!$V$2:$V$96,Plantas!$U$2:$U$96,0,0)</f>
        <v>89</v>
      </c>
      <c r="M194" s="7" cm="1">
        <f t="array" ref="M194">_xlfn.XLOOKUP(C194,_xlfn.ANCHORARRAY($B$213),$A$213:$A$220,0,0)</f>
        <v>3</v>
      </c>
      <c r="N194" s="7">
        <f>_xlfn.XLOOKUP(H194,Unidades!$C$3:$C$8,Unidades!$B$3:$B$8,0,0)</f>
        <v>1</v>
      </c>
      <c r="O194" s="140" t="str">
        <f t="shared" si="4"/>
        <v>INSERT INTO Operacao(OperacaoID, CulturaID, ParcelaID, TipoOperacaoID, DataRealizacao, Quantidade, UnidadeID) VALUES (193, 89, 102, 3,TO_DATE('10/11/2022','dd/mm/yyyy'), 20, 1);</v>
      </c>
      <c r="P194" s="140"/>
      <c r="Q194" s="140"/>
      <c r="R194" s="140"/>
      <c r="S194" s="140"/>
      <c r="T194" s="140"/>
      <c r="U194" s="140"/>
      <c r="V194" s="140"/>
      <c r="W194" s="140"/>
      <c r="X194" s="140"/>
      <c r="Y194" s="140"/>
      <c r="Z194" s="140"/>
      <c r="AA194" s="140"/>
    </row>
    <row r="195" spans="1:27" x14ac:dyDescent="0.25">
      <c r="A195" s="7">
        <v>102</v>
      </c>
      <c r="B195" t="s">
        <v>198</v>
      </c>
      <c r="C195" t="s">
        <v>7</v>
      </c>
      <c r="E195" t="s">
        <v>199</v>
      </c>
      <c r="F195" s="1">
        <v>44877</v>
      </c>
      <c r="G195">
        <v>300</v>
      </c>
      <c r="H195" t="s">
        <v>217</v>
      </c>
      <c r="K195" s="7">
        <f t="shared" si="5"/>
        <v>194</v>
      </c>
      <c r="L195" s="7">
        <f>_xlfn.XLOOKUP(E195,Plantas!$V$2:$V$96,Plantas!$U$2:$U$96,0,0)</f>
        <v>92</v>
      </c>
      <c r="M195" s="7" cm="1">
        <f t="array" ref="M195">_xlfn.XLOOKUP(C195,_xlfn.ANCHORARRAY($B$213),$A$213:$A$220,0,0)</f>
        <v>7</v>
      </c>
      <c r="N195" s="7">
        <f>_xlfn.XLOOKUP(H195,Unidades!$C$3:$C$8,Unidades!$B$3:$B$8,0,0)</f>
        <v>3</v>
      </c>
      <c r="O195" s="140" t="str">
        <f t="shared" ref="O195:O209" si="6">"INSERT INTO Operacao(OperacaoID, CulturaID, ParcelaID, TipoOperacaoID, DataRealizacao, Quantidade, UnidadeID) VALUES ("&amp;K195&amp;", "&amp;L195&amp;", "&amp;A195&amp;", "&amp;M195&amp;",TO_DATE('"&amp;TEXT(F195,"dd/mm/aaaa")&amp;"','dd/mm/yyyy'), "&amp;SUBSTITUTE(G195,",",".")&amp;", "&amp;N195&amp;");"</f>
        <v>INSERT INTO Operacao(OperacaoID, CulturaID, ParcelaID, TipoOperacaoID, DataRealizacao, Quantidade, UnidadeID) VALUES (194, 92, 102, 7,TO_DATE('12/11/2022','dd/mm/yyyy'), 300, 3);</v>
      </c>
      <c r="P195" s="140"/>
      <c r="Q195" s="140"/>
      <c r="R195" s="140"/>
      <c r="S195" s="140"/>
      <c r="T195" s="140"/>
      <c r="U195" s="140"/>
      <c r="V195" s="140"/>
      <c r="W195" s="140"/>
      <c r="X195" s="140"/>
      <c r="Y195" s="140"/>
      <c r="Z195" s="140"/>
      <c r="AA195" s="140"/>
    </row>
    <row r="196" spans="1:27" x14ac:dyDescent="0.25">
      <c r="A196" s="7">
        <v>102</v>
      </c>
      <c r="B196" t="s">
        <v>198</v>
      </c>
      <c r="C196" t="s">
        <v>7</v>
      </c>
      <c r="E196" t="s">
        <v>201</v>
      </c>
      <c r="F196" s="1">
        <v>44877</v>
      </c>
      <c r="G196">
        <v>200</v>
      </c>
      <c r="H196" t="s">
        <v>217</v>
      </c>
      <c r="K196" s="7">
        <f t="shared" ref="K196:K209" si="7">K195+1</f>
        <v>195</v>
      </c>
      <c r="L196" s="7">
        <f>_xlfn.XLOOKUP(E196,Plantas!$V$2:$V$96,Plantas!$U$2:$U$96,0,0)</f>
        <v>89</v>
      </c>
      <c r="M196" s="7" cm="1">
        <f t="array" ref="M196">_xlfn.XLOOKUP(C196,_xlfn.ANCHORARRAY($B$213),$A$213:$A$220,0,0)</f>
        <v>7</v>
      </c>
      <c r="N196" s="7">
        <f>_xlfn.XLOOKUP(H196,Unidades!$C$3:$C$8,Unidades!$B$3:$B$8,0,0)</f>
        <v>3</v>
      </c>
      <c r="O196" s="140" t="str">
        <f t="shared" si="6"/>
        <v>INSERT INTO Operacao(OperacaoID, CulturaID, ParcelaID, TipoOperacaoID, DataRealizacao, Quantidade, UnidadeID) VALUES (195, 89, 102, 7,TO_DATE('12/11/2022','dd/mm/yyyy'), 200, 3);</v>
      </c>
      <c r="P196" s="140"/>
      <c r="Q196" s="140"/>
      <c r="R196" s="140"/>
      <c r="S196" s="140"/>
      <c r="T196" s="140"/>
      <c r="U196" s="140"/>
      <c r="V196" s="140"/>
      <c r="W196" s="140"/>
      <c r="X196" s="140"/>
      <c r="Y196" s="140"/>
      <c r="Z196" s="140"/>
      <c r="AA196" s="140"/>
    </row>
    <row r="197" spans="1:27" x14ac:dyDescent="0.25">
      <c r="A197" s="7">
        <v>106</v>
      </c>
      <c r="B197" t="s">
        <v>219</v>
      </c>
      <c r="C197" t="s">
        <v>7</v>
      </c>
      <c r="E197" t="s">
        <v>237</v>
      </c>
      <c r="F197" s="1">
        <v>44880</v>
      </c>
      <c r="G197">
        <v>50</v>
      </c>
      <c r="H197" t="s">
        <v>217</v>
      </c>
      <c r="K197" s="7">
        <f t="shared" si="7"/>
        <v>196</v>
      </c>
      <c r="L197" s="7">
        <f>_xlfn.XLOOKUP(E197,Plantas!$V$2:$V$96,Plantas!$U$2:$U$96,0,0)</f>
        <v>84</v>
      </c>
      <c r="M197" s="7" cm="1">
        <f t="array" ref="M197">_xlfn.XLOOKUP(C197,_xlfn.ANCHORARRAY($B$213),$A$213:$A$220,0,0)</f>
        <v>7</v>
      </c>
      <c r="N197" s="7">
        <f>_xlfn.XLOOKUP(H197,Unidades!$C$3:$C$8,Unidades!$B$3:$B$8,0,0)</f>
        <v>3</v>
      </c>
      <c r="O197" s="140" t="str">
        <f t="shared" si="6"/>
        <v>INSERT INTO Operacao(OperacaoID, CulturaID, ParcelaID, TipoOperacaoID, DataRealizacao, Quantidade, UnidadeID) VALUES (196, 84, 106, 7,TO_DATE('15/11/2022','dd/mm/yyyy'), 50, 3);</v>
      </c>
      <c r="P197" s="140"/>
      <c r="Q197" s="140"/>
      <c r="R197" s="140"/>
      <c r="S197" s="140"/>
      <c r="T197" s="140"/>
      <c r="U197" s="140"/>
      <c r="V197" s="140"/>
      <c r="W197" s="140"/>
      <c r="X197" s="140"/>
      <c r="Y197" s="140"/>
      <c r="Z197" s="140"/>
      <c r="AA197" s="140"/>
    </row>
    <row r="198" spans="1:27" x14ac:dyDescent="0.25">
      <c r="A198" s="7">
        <v>104</v>
      </c>
      <c r="B198" t="s">
        <v>181</v>
      </c>
      <c r="C198" t="s">
        <v>5</v>
      </c>
      <c r="E198" t="s">
        <v>204</v>
      </c>
      <c r="F198" s="1">
        <v>44899</v>
      </c>
      <c r="G198">
        <v>70</v>
      </c>
      <c r="H198" t="s">
        <v>200</v>
      </c>
      <c r="K198" s="7">
        <f t="shared" si="7"/>
        <v>197</v>
      </c>
      <c r="L198" s="7">
        <f>_xlfn.XLOOKUP(E198,Plantas!$V$2:$V$96,Plantas!$U$2:$U$96,0,0)</f>
        <v>48</v>
      </c>
      <c r="M198" s="7" cm="1">
        <f t="array" ref="M198">_xlfn.XLOOKUP(C198,_xlfn.ANCHORARRAY($B$213),$A$213:$A$220,0,0)</f>
        <v>3</v>
      </c>
      <c r="N198" s="7">
        <f>_xlfn.XLOOKUP(H198,Unidades!$C$3:$C$8,Unidades!$B$3:$B$8,0,0)</f>
        <v>1</v>
      </c>
      <c r="O198" s="140" t="str">
        <f t="shared" si="6"/>
        <v>INSERT INTO Operacao(OperacaoID, CulturaID, ParcelaID, TipoOperacaoID, DataRealizacao, Quantidade, UnidadeID) VALUES (197, 48, 104, 3,TO_DATE('04/12/2022','dd/mm/yyyy'), 70, 1);</v>
      </c>
      <c r="P198" s="140"/>
      <c r="Q198" s="140"/>
      <c r="R198" s="140"/>
      <c r="S198" s="140"/>
      <c r="T198" s="140"/>
      <c r="U198" s="140"/>
      <c r="V198" s="140"/>
      <c r="W198" s="140"/>
      <c r="X198" s="140"/>
      <c r="Y198" s="140"/>
      <c r="Z198" s="140"/>
      <c r="AA198" s="140"/>
    </row>
    <row r="199" spans="1:27" x14ac:dyDescent="0.25">
      <c r="A199" s="7">
        <v>104</v>
      </c>
      <c r="B199" t="s">
        <v>181</v>
      </c>
      <c r="C199" t="s">
        <v>5</v>
      </c>
      <c r="E199" t="s">
        <v>202</v>
      </c>
      <c r="F199" s="1">
        <v>44902</v>
      </c>
      <c r="G199">
        <v>90</v>
      </c>
      <c r="H199" t="s">
        <v>200</v>
      </c>
      <c r="K199" s="7">
        <f t="shared" si="7"/>
        <v>198</v>
      </c>
      <c r="L199" s="7">
        <f>_xlfn.XLOOKUP(E199,Plantas!$V$2:$V$96,Plantas!$U$2:$U$96,0,0)</f>
        <v>41</v>
      </c>
      <c r="M199" s="7" cm="1">
        <f t="array" ref="M199">_xlfn.XLOOKUP(C199,_xlfn.ANCHORARRAY($B$213),$A$213:$A$220,0,0)</f>
        <v>3</v>
      </c>
      <c r="N199" s="7">
        <f>_xlfn.XLOOKUP(H199,Unidades!$C$3:$C$8,Unidades!$B$3:$B$8,0,0)</f>
        <v>1</v>
      </c>
      <c r="O199" s="140" t="str">
        <f t="shared" si="6"/>
        <v>INSERT INTO Operacao(OperacaoID, CulturaID, ParcelaID, TipoOperacaoID, DataRealizacao, Quantidade, UnidadeID) VALUES (198, 41, 104, 3,TO_DATE('07/12/2022','dd/mm/yyyy'), 90, 1);</v>
      </c>
      <c r="P199" s="140"/>
      <c r="Q199" s="140"/>
      <c r="R199" s="140"/>
      <c r="S199" s="140"/>
      <c r="T199" s="140"/>
      <c r="U199" s="140"/>
      <c r="V199" s="140"/>
      <c r="W199" s="140"/>
      <c r="X199" s="140"/>
      <c r="Y199" s="140"/>
      <c r="Z199" s="140"/>
      <c r="AA199" s="140"/>
    </row>
    <row r="200" spans="1:27" x14ac:dyDescent="0.25">
      <c r="A200" s="7">
        <v>102</v>
      </c>
      <c r="B200" t="s">
        <v>198</v>
      </c>
      <c r="C200" t="s">
        <v>215</v>
      </c>
      <c r="D200" t="s">
        <v>227</v>
      </c>
      <c r="E200" t="s">
        <v>199</v>
      </c>
      <c r="F200" s="1">
        <v>44906</v>
      </c>
      <c r="G200">
        <v>15</v>
      </c>
      <c r="H200" t="s">
        <v>217</v>
      </c>
      <c r="I200" t="s">
        <v>151</v>
      </c>
      <c r="K200" s="7">
        <f t="shared" si="7"/>
        <v>199</v>
      </c>
      <c r="L200" s="7">
        <f>_xlfn.XLOOKUP(E200,Plantas!$V$2:$V$96,Plantas!$U$2:$U$96,0,0)</f>
        <v>92</v>
      </c>
      <c r="M200" s="7" cm="1">
        <f t="array" ref="M200">_xlfn.XLOOKUP(C200,_xlfn.ANCHORARRAY($B$213),$A$213:$A$220,0,0)</f>
        <v>4</v>
      </c>
      <c r="N200" s="7">
        <f>_xlfn.XLOOKUP(H200,Unidades!$C$3:$C$8,Unidades!$B$3:$B$8,0,0)</f>
        <v>3</v>
      </c>
      <c r="O200" s="140" t="str">
        <f t="shared" si="6"/>
        <v>INSERT INTO Operacao(OperacaoID, CulturaID, ParcelaID, TipoOperacaoID, DataRealizacao, Quantidade, UnidadeID) VALUES (199, 92, 102, 4,TO_DATE('11/12/2022','dd/mm/yyyy'), 15, 3);</v>
      </c>
      <c r="P200" s="140"/>
      <c r="Q200" s="140"/>
      <c r="R200" s="140"/>
      <c r="S200" s="140"/>
      <c r="T200" s="140"/>
      <c r="U200" s="140"/>
      <c r="V200" s="140"/>
      <c r="W200" s="140"/>
      <c r="X200" s="140"/>
      <c r="Y200" s="140"/>
      <c r="Z200" s="140"/>
      <c r="AA200" s="140"/>
    </row>
    <row r="201" spans="1:27" x14ac:dyDescent="0.25">
      <c r="A201" s="7">
        <v>102</v>
      </c>
      <c r="B201" t="s">
        <v>198</v>
      </c>
      <c r="C201" t="s">
        <v>215</v>
      </c>
      <c r="D201" t="s">
        <v>227</v>
      </c>
      <c r="E201" t="s">
        <v>201</v>
      </c>
      <c r="F201" s="1">
        <v>44906</v>
      </c>
      <c r="G201">
        <v>10</v>
      </c>
      <c r="H201" t="s">
        <v>217</v>
      </c>
      <c r="I201" t="s">
        <v>151</v>
      </c>
      <c r="K201" s="7">
        <f t="shared" si="7"/>
        <v>200</v>
      </c>
      <c r="L201" s="7">
        <f>_xlfn.XLOOKUP(E201,Plantas!$V$2:$V$96,Plantas!$U$2:$U$96,0,0)</f>
        <v>89</v>
      </c>
      <c r="M201" s="7" cm="1">
        <f t="array" ref="M201">_xlfn.XLOOKUP(C201,_xlfn.ANCHORARRAY($B$213),$A$213:$A$220,0,0)</f>
        <v>4</v>
      </c>
      <c r="N201" s="7">
        <f>_xlfn.XLOOKUP(H201,Unidades!$C$3:$C$8,Unidades!$B$3:$B$8,0,0)</f>
        <v>3</v>
      </c>
      <c r="O201" s="140" t="str">
        <f t="shared" si="6"/>
        <v>INSERT INTO Operacao(OperacaoID, CulturaID, ParcelaID, TipoOperacaoID, DataRealizacao, Quantidade, UnidadeID) VALUES (200, 89, 102, 4,TO_DATE('11/12/2022','dd/mm/yyyy'), 10, 3);</v>
      </c>
      <c r="P201" s="140"/>
      <c r="Q201" s="140"/>
      <c r="R201" s="140"/>
      <c r="S201" s="140"/>
      <c r="T201" s="140"/>
      <c r="U201" s="140"/>
      <c r="V201" s="140"/>
      <c r="W201" s="140"/>
      <c r="X201" s="140"/>
      <c r="Y201" s="140"/>
      <c r="Z201" s="140"/>
      <c r="AA201" s="140"/>
    </row>
    <row r="202" spans="1:27" x14ac:dyDescent="0.25">
      <c r="A202" s="7">
        <v>107</v>
      </c>
      <c r="B202" t="s">
        <v>245</v>
      </c>
      <c r="C202" t="s">
        <v>5</v>
      </c>
      <c r="E202" t="s">
        <v>246</v>
      </c>
      <c r="F202" s="1">
        <v>44911</v>
      </c>
      <c r="G202">
        <v>500</v>
      </c>
      <c r="H202" t="s">
        <v>200</v>
      </c>
      <c r="K202" s="7">
        <f t="shared" si="7"/>
        <v>201</v>
      </c>
      <c r="L202" s="7">
        <f>_xlfn.XLOOKUP(E202,Plantas!$V$2:$V$96,Plantas!$U$2:$U$96,0,0)</f>
        <v>94</v>
      </c>
      <c r="M202" s="7" cm="1">
        <f t="array" ref="M202">_xlfn.XLOOKUP(C202,_xlfn.ANCHORARRAY($B$213),$A$213:$A$220,0,0)</f>
        <v>3</v>
      </c>
      <c r="N202" s="7">
        <f>_xlfn.XLOOKUP(H202,Unidades!$C$3:$C$8,Unidades!$B$3:$B$8,0,0)</f>
        <v>1</v>
      </c>
      <c r="O202" s="140" t="str">
        <f t="shared" si="6"/>
        <v>INSERT INTO Operacao(OperacaoID, CulturaID, ParcelaID, TipoOperacaoID, DataRealizacao, Quantidade, UnidadeID) VALUES (201, 94, 107, 3,TO_DATE('16/12/2022','dd/mm/yyyy'), 500, 1);</v>
      </c>
      <c r="P202" s="140"/>
      <c r="Q202" s="140"/>
      <c r="R202" s="140"/>
      <c r="S202" s="140"/>
      <c r="T202" s="140"/>
      <c r="U202" s="140"/>
      <c r="V202" s="140"/>
      <c r="W202" s="140"/>
      <c r="X202" s="140"/>
      <c r="Y202" s="140"/>
      <c r="Z202" s="140"/>
      <c r="AA202" s="140"/>
    </row>
    <row r="203" spans="1:27" x14ac:dyDescent="0.25">
      <c r="A203" s="7">
        <v>106</v>
      </c>
      <c r="B203" t="s">
        <v>219</v>
      </c>
      <c r="C203" t="s">
        <v>7</v>
      </c>
      <c r="E203" t="s">
        <v>237</v>
      </c>
      <c r="F203" s="1">
        <v>44913</v>
      </c>
      <c r="G203">
        <v>200</v>
      </c>
      <c r="H203" t="s">
        <v>217</v>
      </c>
      <c r="K203" s="7">
        <f t="shared" si="7"/>
        <v>202</v>
      </c>
      <c r="L203" s="7">
        <f>_xlfn.XLOOKUP(E203,Plantas!$V$2:$V$96,Plantas!$U$2:$U$96,0,0)</f>
        <v>84</v>
      </c>
      <c r="M203" s="7" cm="1">
        <f t="array" ref="M203">_xlfn.XLOOKUP(C203,_xlfn.ANCHORARRAY($B$213),$A$213:$A$220,0,0)</f>
        <v>7</v>
      </c>
      <c r="N203" s="7">
        <f>_xlfn.XLOOKUP(H203,Unidades!$C$3:$C$8,Unidades!$B$3:$B$8,0,0)</f>
        <v>3</v>
      </c>
      <c r="O203" s="140" t="str">
        <f t="shared" si="6"/>
        <v>INSERT INTO Operacao(OperacaoID, CulturaID, ParcelaID, TipoOperacaoID, DataRealizacao, Quantidade, UnidadeID) VALUES (202, 84, 106, 7,TO_DATE('18/12/2022','dd/mm/yyyy'), 200, 3);</v>
      </c>
      <c r="P203" s="140"/>
      <c r="Q203" s="140"/>
      <c r="R203" s="140"/>
      <c r="S203" s="140"/>
      <c r="T203" s="140"/>
      <c r="U203" s="140"/>
      <c r="V203" s="140"/>
      <c r="W203" s="140"/>
      <c r="X203" s="140"/>
      <c r="Y203" s="140"/>
      <c r="Z203" s="140"/>
      <c r="AA203" s="140"/>
    </row>
    <row r="204" spans="1:27" x14ac:dyDescent="0.25">
      <c r="A204" s="7">
        <v>107</v>
      </c>
      <c r="B204" t="s">
        <v>245</v>
      </c>
      <c r="C204" t="s">
        <v>5</v>
      </c>
      <c r="E204" t="s">
        <v>250</v>
      </c>
      <c r="F204" s="1">
        <v>44913</v>
      </c>
      <c r="G204">
        <v>700</v>
      </c>
      <c r="H204" t="s">
        <v>200</v>
      </c>
      <c r="K204" s="7">
        <f t="shared" si="7"/>
        <v>203</v>
      </c>
      <c r="L204" s="7">
        <f>_xlfn.XLOOKUP(E204,Plantas!$V$2:$V$96,Plantas!$U$2:$U$96,0,0)</f>
        <v>95</v>
      </c>
      <c r="M204" s="7" cm="1">
        <f t="array" ref="M204">_xlfn.XLOOKUP(C204,_xlfn.ANCHORARRAY($B$213),$A$213:$A$220,0,0)</f>
        <v>3</v>
      </c>
      <c r="N204" s="7">
        <f>_xlfn.XLOOKUP(H204,Unidades!$C$3:$C$8,Unidades!$B$3:$B$8,0,0)</f>
        <v>1</v>
      </c>
      <c r="O204" s="140" t="str">
        <f t="shared" si="6"/>
        <v>INSERT INTO Operacao(OperacaoID, CulturaID, ParcelaID, TipoOperacaoID, DataRealizacao, Quantidade, UnidadeID) VALUES (203, 95, 107, 3,TO_DATE('18/12/2022','dd/mm/yyyy'), 700, 1);</v>
      </c>
      <c r="P204" s="140"/>
      <c r="Q204" s="140"/>
      <c r="R204" s="140"/>
      <c r="S204" s="140"/>
      <c r="T204" s="140"/>
      <c r="U204" s="140"/>
      <c r="V204" s="140"/>
      <c r="W204" s="140"/>
      <c r="X204" s="140"/>
      <c r="Y204" s="140"/>
      <c r="Z204" s="140"/>
      <c r="AA204" s="140"/>
    </row>
    <row r="205" spans="1:27" x14ac:dyDescent="0.25">
      <c r="A205" s="7">
        <v>104</v>
      </c>
      <c r="B205" t="s">
        <v>181</v>
      </c>
      <c r="C205" t="s">
        <v>5</v>
      </c>
      <c r="E205" t="s">
        <v>203</v>
      </c>
      <c r="F205" s="1">
        <v>44938</v>
      </c>
      <c r="G205">
        <v>60</v>
      </c>
      <c r="H205" t="s">
        <v>200</v>
      </c>
      <c r="K205" s="7">
        <f t="shared" si="7"/>
        <v>204</v>
      </c>
      <c r="L205" s="7">
        <f>_xlfn.XLOOKUP(E205,Plantas!$V$2:$V$96,Plantas!$U$2:$U$96,0,0)</f>
        <v>37</v>
      </c>
      <c r="M205" s="7" cm="1">
        <f t="array" ref="M205">_xlfn.XLOOKUP(C205,_xlfn.ANCHORARRAY($B$213),$A$213:$A$220,0,0)</f>
        <v>3</v>
      </c>
      <c r="N205" s="7">
        <f>_xlfn.XLOOKUP(H205,Unidades!$C$3:$C$8,Unidades!$B$3:$B$8,0,0)</f>
        <v>1</v>
      </c>
      <c r="O205" s="140" t="str">
        <f t="shared" si="6"/>
        <v>INSERT INTO Operacao(OperacaoID, CulturaID, ParcelaID, TipoOperacaoID, DataRealizacao, Quantidade, UnidadeID) VALUES (204, 37, 104, 3,TO_DATE('12/01/2023','dd/mm/yyyy'), 60, 1);</v>
      </c>
      <c r="P205" s="140"/>
      <c r="Q205" s="140"/>
      <c r="R205" s="140"/>
      <c r="S205" s="140"/>
      <c r="T205" s="140"/>
      <c r="U205" s="140"/>
      <c r="V205" s="140"/>
      <c r="W205" s="140"/>
      <c r="X205" s="140"/>
      <c r="Y205" s="140"/>
      <c r="Z205" s="140"/>
      <c r="AA205" s="140"/>
    </row>
    <row r="206" spans="1:27" x14ac:dyDescent="0.25">
      <c r="A206" s="7">
        <v>106</v>
      </c>
      <c r="B206" t="s">
        <v>219</v>
      </c>
      <c r="C206" t="s">
        <v>7</v>
      </c>
      <c r="E206" t="s">
        <v>237</v>
      </c>
      <c r="F206" s="1">
        <v>44940</v>
      </c>
      <c r="G206">
        <v>250</v>
      </c>
      <c r="H206" t="s">
        <v>217</v>
      </c>
      <c r="K206" s="7">
        <f t="shared" si="7"/>
        <v>205</v>
      </c>
      <c r="L206" s="7">
        <f>_xlfn.XLOOKUP(E206,Plantas!$V$2:$V$96,Plantas!$U$2:$U$96,0,0)</f>
        <v>84</v>
      </c>
      <c r="M206" s="7" cm="1">
        <f t="array" ref="M206">_xlfn.XLOOKUP(C206,_xlfn.ANCHORARRAY($B$213),$A$213:$A$220,0,0)</f>
        <v>7</v>
      </c>
      <c r="N206" s="7">
        <f>_xlfn.XLOOKUP(H206,Unidades!$C$3:$C$8,Unidades!$B$3:$B$8,0,0)</f>
        <v>3</v>
      </c>
      <c r="O206" s="140" t="str">
        <f t="shared" si="6"/>
        <v>INSERT INTO Operacao(OperacaoID, CulturaID, ParcelaID, TipoOperacaoID, DataRealizacao, Quantidade, UnidadeID) VALUES (205, 84, 106, 7,TO_DATE('14/01/2023','dd/mm/yyyy'), 250, 3);</v>
      </c>
      <c r="P206" s="140"/>
      <c r="Q206" s="140"/>
      <c r="R206" s="140"/>
      <c r="S206" s="140"/>
      <c r="T206" s="140"/>
      <c r="U206" s="140"/>
      <c r="V206" s="140"/>
      <c r="W206" s="140"/>
      <c r="X206" s="140"/>
      <c r="Y206" s="140"/>
      <c r="Z206" s="140"/>
      <c r="AA206" s="140"/>
    </row>
    <row r="207" spans="1:27" x14ac:dyDescent="0.25">
      <c r="A207" s="7">
        <v>107</v>
      </c>
      <c r="B207" t="s">
        <v>245</v>
      </c>
      <c r="C207" t="s">
        <v>251</v>
      </c>
      <c r="E207" t="s">
        <v>246</v>
      </c>
      <c r="F207" s="1">
        <v>44946</v>
      </c>
      <c r="G207">
        <v>4</v>
      </c>
      <c r="H207" t="s">
        <v>217</v>
      </c>
      <c r="I207" t="s">
        <v>142</v>
      </c>
      <c r="K207" s="7">
        <f t="shared" si="7"/>
        <v>206</v>
      </c>
      <c r="L207" s="7">
        <f>_xlfn.XLOOKUP(E207,Plantas!$V$2:$V$96,Plantas!$U$2:$U$96,0,0)</f>
        <v>94</v>
      </c>
      <c r="M207" s="7" cm="1">
        <f t="array" ref="M207">_xlfn.XLOOKUP(C207,_xlfn.ANCHORARRAY($B$213),$A$213:$A$220,0,0)</f>
        <v>5</v>
      </c>
      <c r="N207" s="7">
        <f>_xlfn.XLOOKUP(H207,Unidades!$C$3:$C$8,Unidades!$B$3:$B$8,0,0)</f>
        <v>3</v>
      </c>
      <c r="O207" s="140" t="str">
        <f t="shared" si="6"/>
        <v>INSERT INTO Operacao(OperacaoID, CulturaID, ParcelaID, TipoOperacaoID, DataRealizacao, Quantidade, UnidadeID) VALUES (206, 94, 107, 5,TO_DATE('20/01/2023','dd/mm/yyyy'), 4, 3);</v>
      </c>
      <c r="P207" s="140"/>
      <c r="Q207" s="140"/>
      <c r="R207" s="140"/>
      <c r="S207" s="140"/>
      <c r="T207" s="140"/>
      <c r="U207" s="140"/>
      <c r="V207" s="140"/>
      <c r="W207" s="140"/>
      <c r="X207" s="140"/>
      <c r="Y207" s="140"/>
      <c r="Z207" s="140"/>
      <c r="AA207" s="140"/>
    </row>
    <row r="208" spans="1:27" x14ac:dyDescent="0.25">
      <c r="A208" s="7">
        <v>107</v>
      </c>
      <c r="B208" t="s">
        <v>245</v>
      </c>
      <c r="C208" t="s">
        <v>251</v>
      </c>
      <c r="E208" t="s">
        <v>250</v>
      </c>
      <c r="F208" s="1">
        <v>44946</v>
      </c>
      <c r="G208">
        <v>5</v>
      </c>
      <c r="H208" t="s">
        <v>217</v>
      </c>
      <c r="I208" t="s">
        <v>142</v>
      </c>
      <c r="K208" s="7">
        <f t="shared" si="7"/>
        <v>207</v>
      </c>
      <c r="L208" s="7">
        <f>_xlfn.XLOOKUP(E208,Plantas!$V$2:$V$96,Plantas!$U$2:$U$96,0,0)</f>
        <v>95</v>
      </c>
      <c r="M208" s="7" cm="1">
        <f t="array" ref="M208">_xlfn.XLOOKUP(C208,_xlfn.ANCHORARRAY($B$213),$A$213:$A$220,0,0)</f>
        <v>5</v>
      </c>
      <c r="N208" s="7">
        <f>_xlfn.XLOOKUP(H208,Unidades!$C$3:$C$8,Unidades!$B$3:$B$8,0,0)</f>
        <v>3</v>
      </c>
      <c r="O208" s="140" t="str">
        <f t="shared" si="6"/>
        <v>INSERT INTO Operacao(OperacaoID, CulturaID, ParcelaID, TipoOperacaoID, DataRealizacao, Quantidade, UnidadeID) VALUES (207, 95, 107, 5,TO_DATE('20/01/2023','dd/mm/yyyy'), 5, 3);</v>
      </c>
      <c r="P208" s="140"/>
      <c r="Q208" s="140"/>
      <c r="R208" s="140"/>
      <c r="S208" s="140"/>
      <c r="T208" s="140"/>
      <c r="U208" s="140"/>
      <c r="V208" s="140"/>
      <c r="W208" s="140"/>
      <c r="X208" s="140"/>
      <c r="Y208" s="140"/>
      <c r="Z208" s="140"/>
      <c r="AA208" s="140"/>
    </row>
    <row r="209" spans="1:27" x14ac:dyDescent="0.25">
      <c r="A209" s="7">
        <v>103</v>
      </c>
      <c r="B209" t="s">
        <v>180</v>
      </c>
      <c r="C209" t="s">
        <v>214</v>
      </c>
      <c r="E209" t="s">
        <v>205</v>
      </c>
      <c r="F209" s="1">
        <v>45005</v>
      </c>
      <c r="G209">
        <v>1.3</v>
      </c>
      <c r="H209" t="s">
        <v>178</v>
      </c>
      <c r="K209" s="7">
        <f t="shared" si="7"/>
        <v>208</v>
      </c>
      <c r="L209" s="7">
        <f>_xlfn.XLOOKUP(E209,Plantas!$V$2:$V$96,Plantas!$U$2:$U$96,0,0)</f>
        <v>80</v>
      </c>
      <c r="M209" s="7" cm="1">
        <f t="array" ref="M209">_xlfn.XLOOKUP(C209,_xlfn.ANCHORARRAY($B$213),$A$213:$A$220,0,0)</f>
        <v>8</v>
      </c>
      <c r="N209" s="7">
        <f>_xlfn.XLOOKUP(H209,Unidades!$C$3:$C$8,Unidades!$B$3:$B$8,0,0)</f>
        <v>4</v>
      </c>
      <c r="O209" s="140" t="str">
        <f t="shared" si="6"/>
        <v>INSERT INTO Operacao(OperacaoID, CulturaID, ParcelaID, TipoOperacaoID, DataRealizacao, Quantidade, UnidadeID) VALUES (208, 80, 103, 8,TO_DATE('20/03/2023','dd/mm/yyyy'), 1.3, 4);</v>
      </c>
      <c r="P209" s="140"/>
      <c r="Q209" s="140"/>
      <c r="R209" s="140"/>
      <c r="S209" s="140"/>
      <c r="T209" s="140"/>
      <c r="U209" s="140"/>
      <c r="V209" s="140"/>
      <c r="W209" s="140"/>
      <c r="X209" s="140"/>
      <c r="Y209" s="140"/>
      <c r="Z209" s="140"/>
      <c r="AA209" s="140"/>
    </row>
    <row r="210" spans="1:27" x14ac:dyDescent="0.25">
      <c r="A210"/>
      <c r="B210"/>
    </row>
    <row r="211" spans="1:27" x14ac:dyDescent="0.25">
      <c r="A211" s="163" t="s">
        <v>279</v>
      </c>
      <c r="B211" s="163"/>
      <c r="M211" s="33"/>
    </row>
    <row r="212" spans="1:27" x14ac:dyDescent="0.25">
      <c r="A212" s="91" t="s">
        <v>277</v>
      </c>
      <c r="B212" s="91" t="s">
        <v>278</v>
      </c>
    </row>
    <row r="213" spans="1:27" x14ac:dyDescent="0.25">
      <c r="A213" s="91">
        <v>1</v>
      </c>
      <c r="B213" s="91" t="str" cm="1">
        <f t="array" ref="B213:B220">_xlfn.UNIQUE(C2:C209)</f>
        <v>Plantação</v>
      </c>
      <c r="C213" s="161" t="str">
        <f>"INSERT INTO TipoOperacao(TipoOperacaoID, DesignacaoTipoOperacao) VALUES ("&amp;A213&amp;", '"&amp;B213&amp;"');"</f>
        <v>INSERT INTO TipoOperacao(TipoOperacaoID, DesignacaoTipoOperacao) VALUES (1, 'Plantação');</v>
      </c>
      <c r="D213" s="162"/>
      <c r="E213" s="162"/>
      <c r="F213" s="162"/>
      <c r="G213" s="162"/>
      <c r="H213" s="162"/>
      <c r="I213" s="103">
        <v>1</v>
      </c>
      <c r="J213" s="6"/>
      <c r="K213"/>
      <c r="L213"/>
      <c r="M213"/>
      <c r="N213" s="9"/>
    </row>
    <row r="214" spans="1:27" x14ac:dyDescent="0.25">
      <c r="A214" s="91">
        <f>A213+1</f>
        <v>2</v>
      </c>
      <c r="B214" s="91" t="str">
        <v>Rega</v>
      </c>
      <c r="C214" s="161" t="str">
        <f t="shared" ref="C214:C220" si="8">"INSERT INTO TipoOperacao(TipoOperacaoID, DesignacaoTipoOperacao) VALUES ("&amp;A214&amp;", '"&amp;B214&amp;"');"</f>
        <v>INSERT INTO TipoOperacao(TipoOperacaoID, DesignacaoTipoOperacao) VALUES (2, 'Rega');</v>
      </c>
      <c r="D214" s="162"/>
      <c r="E214" s="162"/>
      <c r="F214" s="162"/>
      <c r="G214" s="162"/>
      <c r="H214" s="162"/>
      <c r="K214"/>
      <c r="L214"/>
      <c r="M214"/>
      <c r="N214" s="9"/>
    </row>
    <row r="215" spans="1:27" x14ac:dyDescent="0.25">
      <c r="A215" s="91">
        <f t="shared" ref="A215:A220" si="9">A214+1</f>
        <v>3</v>
      </c>
      <c r="B215" s="91" t="str">
        <v>Poda</v>
      </c>
      <c r="C215" s="161" t="str">
        <f t="shared" si="8"/>
        <v>INSERT INTO TipoOperacao(TipoOperacaoID, DesignacaoTipoOperacao) VALUES (3, 'Poda');</v>
      </c>
      <c r="D215" s="162"/>
      <c r="E215" s="162"/>
      <c r="F215" s="162"/>
      <c r="G215" s="162"/>
      <c r="H215" s="162"/>
      <c r="K215"/>
      <c r="L215"/>
      <c r="M215"/>
      <c r="N215" s="9"/>
    </row>
    <row r="216" spans="1:27" x14ac:dyDescent="0.25">
      <c r="A216" s="91">
        <f t="shared" si="9"/>
        <v>4</v>
      </c>
      <c r="B216" s="91" t="str">
        <v>Fertilização</v>
      </c>
      <c r="C216" s="161" t="str">
        <f t="shared" si="8"/>
        <v>INSERT INTO TipoOperacao(TipoOperacaoID, DesignacaoTipoOperacao) VALUES (4, 'Fertilização');</v>
      </c>
      <c r="D216" s="162"/>
      <c r="E216" s="162"/>
      <c r="F216" s="162"/>
      <c r="G216" s="162"/>
      <c r="H216" s="162"/>
      <c r="K216"/>
      <c r="L216"/>
      <c r="M216"/>
      <c r="N216" s="9"/>
    </row>
    <row r="217" spans="1:27" x14ac:dyDescent="0.25">
      <c r="A217" s="91">
        <f t="shared" si="9"/>
        <v>5</v>
      </c>
      <c r="B217" s="91" t="str">
        <v>Aplicação fitofármaco</v>
      </c>
      <c r="C217" s="161" t="str">
        <f t="shared" si="8"/>
        <v>INSERT INTO TipoOperacao(TipoOperacaoID, DesignacaoTipoOperacao) VALUES (5, 'Aplicação fitofármaco');</v>
      </c>
      <c r="D217" s="162"/>
      <c r="E217" s="162"/>
      <c r="F217" s="162"/>
      <c r="G217" s="162"/>
      <c r="H217" s="162"/>
      <c r="K217"/>
      <c r="L217"/>
      <c r="M217"/>
      <c r="N217" s="9"/>
    </row>
    <row r="218" spans="1:27" x14ac:dyDescent="0.25">
      <c r="A218" s="91">
        <f t="shared" si="9"/>
        <v>6</v>
      </c>
      <c r="B218" s="91" t="str">
        <v>Sementeira</v>
      </c>
      <c r="C218" s="161" t="str">
        <f t="shared" si="8"/>
        <v>INSERT INTO TipoOperacao(TipoOperacaoID, DesignacaoTipoOperacao) VALUES (6, 'Sementeira');</v>
      </c>
      <c r="D218" s="162"/>
      <c r="E218" s="162"/>
      <c r="F218" s="162"/>
      <c r="G218" s="162"/>
      <c r="H218" s="162"/>
      <c r="K218"/>
      <c r="L218"/>
      <c r="M218"/>
      <c r="N218" s="9"/>
    </row>
    <row r="219" spans="1:27" x14ac:dyDescent="0.25">
      <c r="A219" s="91">
        <f t="shared" si="9"/>
        <v>7</v>
      </c>
      <c r="B219" s="91" t="str">
        <v>Colheita</v>
      </c>
      <c r="C219" s="161" t="str">
        <f t="shared" si="8"/>
        <v>INSERT INTO TipoOperacao(TipoOperacaoID, DesignacaoTipoOperacao) VALUES (7, 'Colheita');</v>
      </c>
      <c r="D219" s="162"/>
      <c r="E219" s="162"/>
      <c r="F219" s="162"/>
      <c r="G219" s="162"/>
      <c r="H219" s="162"/>
      <c r="K219"/>
      <c r="L219"/>
      <c r="M219"/>
      <c r="N219" s="9"/>
    </row>
    <row r="220" spans="1:27" x14ac:dyDescent="0.25">
      <c r="A220" s="91">
        <f t="shared" si="9"/>
        <v>8</v>
      </c>
      <c r="B220" s="91" t="str">
        <v>Incorporação no solo</v>
      </c>
      <c r="C220" s="161" t="str">
        <f t="shared" si="8"/>
        <v>INSERT INTO TipoOperacao(TipoOperacaoID, DesignacaoTipoOperacao) VALUES (8, 'Incorporação no solo');</v>
      </c>
      <c r="D220" s="162"/>
      <c r="E220" s="162"/>
      <c r="F220" s="162"/>
      <c r="G220" s="162"/>
      <c r="H220" s="162"/>
      <c r="K220"/>
      <c r="L220"/>
      <c r="M220"/>
      <c r="N220" s="9"/>
    </row>
    <row r="221" spans="1:27" x14ac:dyDescent="0.25">
      <c r="A221"/>
      <c r="B221"/>
    </row>
    <row r="222" spans="1:27" x14ac:dyDescent="0.25">
      <c r="A222" s="160"/>
      <c r="B222" s="160"/>
      <c r="C222" s="2"/>
    </row>
    <row r="223" spans="1:27" x14ac:dyDescent="0.25">
      <c r="C223" s="7"/>
    </row>
    <row r="224" spans="1:27" x14ac:dyDescent="0.25">
      <c r="I224" s="106"/>
      <c r="J224" s="106"/>
    </row>
    <row r="225" spans="4:8" x14ac:dyDescent="0.25">
      <c r="D225" s="159"/>
      <c r="E225" s="159"/>
      <c r="F225" s="159"/>
      <c r="G225" s="159"/>
      <c r="H225" s="159"/>
    </row>
  </sheetData>
  <autoFilter ref="A1:I209" xr:uid="{8273E431-88A0-4D26-AA21-9E0D94FE2923}">
    <sortState xmlns:xlrd2="http://schemas.microsoft.com/office/spreadsheetml/2017/richdata2" ref="A2:I151">
      <sortCondition ref="F2:F151"/>
      <sortCondition ref="B2:B151"/>
    </sortState>
  </autoFilter>
  <sortState xmlns:xlrd2="http://schemas.microsoft.com/office/spreadsheetml/2017/richdata2" ref="A2:I209">
    <sortCondition ref="F2:F209"/>
    <sortCondition ref="A2:A209"/>
  </sortState>
  <mergeCells count="219">
    <mergeCell ref="O2:AA2"/>
    <mergeCell ref="O3:AA3"/>
    <mergeCell ref="O4:AA4"/>
    <mergeCell ref="O5:AA5"/>
    <mergeCell ref="O6:AA6"/>
    <mergeCell ref="O7:AA7"/>
    <mergeCell ref="O8:AA8"/>
    <mergeCell ref="A211:B211"/>
    <mergeCell ref="C213:H213"/>
    <mergeCell ref="O15:AA15"/>
    <mergeCell ref="O16:AA16"/>
    <mergeCell ref="O17:AA17"/>
    <mergeCell ref="O18:AA18"/>
    <mergeCell ref="O19:AA19"/>
    <mergeCell ref="O20:AA20"/>
    <mergeCell ref="O9:AA9"/>
    <mergeCell ref="O10:AA10"/>
    <mergeCell ref="O11:AA11"/>
    <mergeCell ref="O12:AA12"/>
    <mergeCell ref="O13:AA13"/>
    <mergeCell ref="O14:AA14"/>
    <mergeCell ref="O27:AA27"/>
    <mergeCell ref="O28:AA28"/>
    <mergeCell ref="O29:AA29"/>
    <mergeCell ref="O30:AA30"/>
    <mergeCell ref="O31:AA31"/>
    <mergeCell ref="O32:AA32"/>
    <mergeCell ref="O21:AA21"/>
    <mergeCell ref="O22:AA22"/>
    <mergeCell ref="O23:AA23"/>
    <mergeCell ref="O24:AA24"/>
    <mergeCell ref="O25:AA25"/>
    <mergeCell ref="O26:AA26"/>
    <mergeCell ref="O39:AA39"/>
    <mergeCell ref="O40:AA40"/>
    <mergeCell ref="O41:AA41"/>
    <mergeCell ref="O42:AA42"/>
    <mergeCell ref="O43:AA43"/>
    <mergeCell ref="O44:AA44"/>
    <mergeCell ref="O33:AA33"/>
    <mergeCell ref="O34:AA34"/>
    <mergeCell ref="O35:AA35"/>
    <mergeCell ref="O36:AA36"/>
    <mergeCell ref="O37:AA37"/>
    <mergeCell ref="O38:AA38"/>
    <mergeCell ref="O51:AA51"/>
    <mergeCell ref="O52:AA52"/>
    <mergeCell ref="O53:AA53"/>
    <mergeCell ref="O54:AA54"/>
    <mergeCell ref="O55:AA55"/>
    <mergeCell ref="O56:AA56"/>
    <mergeCell ref="O45:AA45"/>
    <mergeCell ref="O46:AA46"/>
    <mergeCell ref="O47:AA47"/>
    <mergeCell ref="O48:AA48"/>
    <mergeCell ref="O49:AA49"/>
    <mergeCell ref="O50:AA50"/>
    <mergeCell ref="O63:AA63"/>
    <mergeCell ref="O64:AA64"/>
    <mergeCell ref="O65:AA65"/>
    <mergeCell ref="O66:AA66"/>
    <mergeCell ref="O67:AA67"/>
    <mergeCell ref="O68:AA68"/>
    <mergeCell ref="O57:AA57"/>
    <mergeCell ref="O58:AA58"/>
    <mergeCell ref="O59:AA59"/>
    <mergeCell ref="O60:AA60"/>
    <mergeCell ref="O61:AA61"/>
    <mergeCell ref="O62:AA62"/>
    <mergeCell ref="O75:AA75"/>
    <mergeCell ref="O76:AA76"/>
    <mergeCell ref="O77:AA77"/>
    <mergeCell ref="O78:AA78"/>
    <mergeCell ref="O79:AA79"/>
    <mergeCell ref="O80:AA80"/>
    <mergeCell ref="O69:AA69"/>
    <mergeCell ref="O70:AA70"/>
    <mergeCell ref="O71:AA71"/>
    <mergeCell ref="O72:AA72"/>
    <mergeCell ref="O73:AA73"/>
    <mergeCell ref="O74:AA74"/>
    <mergeCell ref="O87:AA87"/>
    <mergeCell ref="O88:AA88"/>
    <mergeCell ref="O89:AA89"/>
    <mergeCell ref="O90:AA90"/>
    <mergeCell ref="O91:AA91"/>
    <mergeCell ref="O92:AA92"/>
    <mergeCell ref="O81:AA81"/>
    <mergeCell ref="O82:AA82"/>
    <mergeCell ref="O83:AA83"/>
    <mergeCell ref="O84:AA84"/>
    <mergeCell ref="O85:AA85"/>
    <mergeCell ref="O86:AA86"/>
    <mergeCell ref="O99:AA99"/>
    <mergeCell ref="O100:AA100"/>
    <mergeCell ref="O101:AA101"/>
    <mergeCell ref="O102:AA102"/>
    <mergeCell ref="O103:AA103"/>
    <mergeCell ref="O104:AA104"/>
    <mergeCell ref="O93:AA93"/>
    <mergeCell ref="O94:AA94"/>
    <mergeCell ref="O95:AA95"/>
    <mergeCell ref="O96:AA96"/>
    <mergeCell ref="O97:AA97"/>
    <mergeCell ref="O98:AA98"/>
    <mergeCell ref="O111:AA111"/>
    <mergeCell ref="O112:AA112"/>
    <mergeCell ref="O113:AA113"/>
    <mergeCell ref="O114:AA114"/>
    <mergeCell ref="O115:AA115"/>
    <mergeCell ref="O116:AA116"/>
    <mergeCell ref="O105:AA105"/>
    <mergeCell ref="O106:AA106"/>
    <mergeCell ref="O107:AA107"/>
    <mergeCell ref="O108:AA108"/>
    <mergeCell ref="O109:AA109"/>
    <mergeCell ref="O110:AA110"/>
    <mergeCell ref="O123:AA123"/>
    <mergeCell ref="O124:AA124"/>
    <mergeCell ref="O125:AA125"/>
    <mergeCell ref="O126:AA126"/>
    <mergeCell ref="O127:AA127"/>
    <mergeCell ref="O128:AA128"/>
    <mergeCell ref="O117:AA117"/>
    <mergeCell ref="O118:AA118"/>
    <mergeCell ref="O119:AA119"/>
    <mergeCell ref="O120:AA120"/>
    <mergeCell ref="O121:AA121"/>
    <mergeCell ref="O122:AA122"/>
    <mergeCell ref="O135:AA135"/>
    <mergeCell ref="O136:AA136"/>
    <mergeCell ref="O137:AA137"/>
    <mergeCell ref="O138:AA138"/>
    <mergeCell ref="O139:AA139"/>
    <mergeCell ref="O140:AA140"/>
    <mergeCell ref="O129:AA129"/>
    <mergeCell ref="O130:AA130"/>
    <mergeCell ref="O131:AA131"/>
    <mergeCell ref="O132:AA132"/>
    <mergeCell ref="O133:AA133"/>
    <mergeCell ref="O134:AA134"/>
    <mergeCell ref="O147:AA147"/>
    <mergeCell ref="O148:AA148"/>
    <mergeCell ref="O149:AA149"/>
    <mergeCell ref="O150:AA150"/>
    <mergeCell ref="O151:AA151"/>
    <mergeCell ref="O152:AA152"/>
    <mergeCell ref="O141:AA141"/>
    <mergeCell ref="O142:AA142"/>
    <mergeCell ref="O143:AA143"/>
    <mergeCell ref="O144:AA144"/>
    <mergeCell ref="O145:AA145"/>
    <mergeCell ref="O146:AA146"/>
    <mergeCell ref="O159:AA159"/>
    <mergeCell ref="O160:AA160"/>
    <mergeCell ref="O161:AA161"/>
    <mergeCell ref="O162:AA162"/>
    <mergeCell ref="O163:AA163"/>
    <mergeCell ref="O164:AA164"/>
    <mergeCell ref="O153:AA153"/>
    <mergeCell ref="O154:AA154"/>
    <mergeCell ref="O155:AA155"/>
    <mergeCell ref="O156:AA156"/>
    <mergeCell ref="O157:AA157"/>
    <mergeCell ref="O158:AA158"/>
    <mergeCell ref="O171:AA171"/>
    <mergeCell ref="O172:AA172"/>
    <mergeCell ref="O173:AA173"/>
    <mergeCell ref="O174:AA174"/>
    <mergeCell ref="O175:AA175"/>
    <mergeCell ref="O176:AA176"/>
    <mergeCell ref="O165:AA165"/>
    <mergeCell ref="O166:AA166"/>
    <mergeCell ref="O167:AA167"/>
    <mergeCell ref="O168:AA168"/>
    <mergeCell ref="O169:AA169"/>
    <mergeCell ref="O170:AA170"/>
    <mergeCell ref="O183:AA183"/>
    <mergeCell ref="O184:AA184"/>
    <mergeCell ref="O185:AA185"/>
    <mergeCell ref="O186:AA186"/>
    <mergeCell ref="O187:AA187"/>
    <mergeCell ref="O188:AA188"/>
    <mergeCell ref="O177:AA177"/>
    <mergeCell ref="O178:AA178"/>
    <mergeCell ref="O179:AA179"/>
    <mergeCell ref="O180:AA180"/>
    <mergeCell ref="O181:AA181"/>
    <mergeCell ref="O182:AA182"/>
    <mergeCell ref="O195:AA195"/>
    <mergeCell ref="O196:AA196"/>
    <mergeCell ref="O197:AA197"/>
    <mergeCell ref="O198:AA198"/>
    <mergeCell ref="O199:AA199"/>
    <mergeCell ref="O200:AA200"/>
    <mergeCell ref="O189:AA189"/>
    <mergeCell ref="O190:AA190"/>
    <mergeCell ref="O191:AA191"/>
    <mergeCell ref="O192:AA192"/>
    <mergeCell ref="O193:AA193"/>
    <mergeCell ref="O194:AA194"/>
    <mergeCell ref="D225:H225"/>
    <mergeCell ref="O207:AA207"/>
    <mergeCell ref="O208:AA208"/>
    <mergeCell ref="O209:AA209"/>
    <mergeCell ref="A222:B222"/>
    <mergeCell ref="O201:AA201"/>
    <mergeCell ref="O202:AA202"/>
    <mergeCell ref="O203:AA203"/>
    <mergeCell ref="O204:AA204"/>
    <mergeCell ref="O205:AA205"/>
    <mergeCell ref="O206:AA206"/>
    <mergeCell ref="C214:H214"/>
    <mergeCell ref="C215:H215"/>
    <mergeCell ref="C216:H216"/>
    <mergeCell ref="C217:H217"/>
    <mergeCell ref="C218:H218"/>
    <mergeCell ref="C219:H219"/>
    <mergeCell ref="C220:H2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E5C9C-460E-411D-88BE-8E4FE12847D8}">
  <dimension ref="A1:F10"/>
  <sheetViews>
    <sheetView workbookViewId="0">
      <selection activeCell="B6" sqref="B6"/>
    </sheetView>
  </sheetViews>
  <sheetFormatPr defaultRowHeight="15" x14ac:dyDescent="0.25"/>
  <cols>
    <col min="3" max="3" width="15.85546875" customWidth="1"/>
    <col min="5" max="5" width="64.7109375" bestFit="1" customWidth="1"/>
    <col min="6" max="6" width="8.7109375" style="7"/>
  </cols>
  <sheetData>
    <row r="1" spans="1:6" x14ac:dyDescent="0.25">
      <c r="A1" s="7" t="str" cm="1">
        <f t="array" ref="A1:A4">_xlfn.UNIQUE(Operações!H2:H134)</f>
        <v>un</v>
      </c>
      <c r="B1" s="164" t="s">
        <v>175</v>
      </c>
      <c r="C1" s="165"/>
      <c r="E1" s="109"/>
    </row>
    <row r="2" spans="1:6" x14ac:dyDescent="0.25">
      <c r="A2" s="7" t="str">
        <v>m3</v>
      </c>
      <c r="B2" s="34" t="s">
        <v>174</v>
      </c>
      <c r="C2" s="35" t="s">
        <v>267</v>
      </c>
      <c r="E2" s="40" t="str">
        <f>"INSERT INTO Unidade(UnidadeID, DESCRICAOUNIDADE) VALUES ("&amp;B3&amp;", '"&amp;C3&amp;"');"</f>
        <v>INSERT INTO Unidade(UnidadeID, DESCRICAOUNIDADE) VALUES (1, 'un');</v>
      </c>
      <c r="F2" s="103">
        <v>1</v>
      </c>
    </row>
    <row r="3" spans="1:6" x14ac:dyDescent="0.25">
      <c r="A3" s="7" t="str">
        <v>kg</v>
      </c>
      <c r="B3" s="36">
        <v>1</v>
      </c>
      <c r="C3" s="37" t="str" cm="1">
        <f t="array" ref="C3">IF(D3=0,NULL,D3)</f>
        <v>un</v>
      </c>
      <c r="D3" s="7" t="str" cm="1">
        <f t="array" ref="D3:D8">_xlfn.UNIQUE(A1:A10)</f>
        <v>un</v>
      </c>
      <c r="E3" s="40" t="str">
        <f t="shared" ref="E3:E6" si="0">"INSERT INTO Unidade(UnidadeID, DESCRICAOUNIDADE) VALUES ("&amp;B4&amp;", '"&amp;C4&amp;"');"</f>
        <v>INSERT INTO Unidade(UnidadeID, DESCRICAOUNIDADE) VALUES (2, 'm3');</v>
      </c>
    </row>
    <row r="4" spans="1:6" x14ac:dyDescent="0.25">
      <c r="A4" s="7" t="str">
        <v>ha</v>
      </c>
      <c r="B4" s="36">
        <f>1+B3</f>
        <v>2</v>
      </c>
      <c r="C4" s="37" t="str" cm="1">
        <f t="array" ref="C4">IF(D4=0,NULL,D4)</f>
        <v>m3</v>
      </c>
      <c r="D4" s="7" t="str">
        <v>m3</v>
      </c>
      <c r="E4" s="40" t="str">
        <f t="shared" si="0"/>
        <v>INSERT INTO Unidade(UnidadeID, DESCRICAOUNIDADE) VALUES (3, 'kg');</v>
      </c>
    </row>
    <row r="5" spans="1:6" x14ac:dyDescent="0.25">
      <c r="A5" s="7" t="str" cm="1">
        <f t="array" ref="A5:A6">_xlfn.UNIQUE(Culturas!H2:H28)</f>
        <v>ha</v>
      </c>
      <c r="B5" s="36">
        <v>3</v>
      </c>
      <c r="C5" s="37" t="str" cm="1">
        <f t="array" ref="C5">IF(D5=0,NULL,D5)</f>
        <v>kg</v>
      </c>
      <c r="D5" s="7" t="str">
        <v>kg</v>
      </c>
      <c r="E5" s="40" t="str">
        <f t="shared" si="0"/>
        <v>INSERT INTO Unidade(UnidadeID, DESCRICAOUNIDADE) VALUES (4, 'ha');</v>
      </c>
    </row>
    <row r="6" spans="1:6" x14ac:dyDescent="0.25">
      <c r="A6" s="7" t="str">
        <v>un</v>
      </c>
      <c r="B6" s="36">
        <v>4</v>
      </c>
      <c r="C6" s="37" t="str" cm="1">
        <f t="array" ref="C6">IF(D6=0,NULL,D6)</f>
        <v>ha</v>
      </c>
      <c r="D6" s="7" t="str">
        <v>ha</v>
      </c>
      <c r="E6" s="40" t="str">
        <f t="shared" si="0"/>
        <v>INSERT INTO Unidade(UnidadeID, DESCRICAOUNIDADE) VALUES (5, 'm2');</v>
      </c>
    </row>
    <row r="7" spans="1:6" ht="15.75" thickBot="1" x14ac:dyDescent="0.3">
      <c r="A7" s="7" t="str" cm="1">
        <f t="array" ref="A7:A10">_xlfn.UNIQUE('Exploração agrícola'!E2:E14)</f>
        <v>ha</v>
      </c>
      <c r="B7" s="38">
        <v>5</v>
      </c>
      <c r="C7" s="39" t="str" cm="1">
        <f t="array" ref="C7">IF(D7=0,NULL,D7)</f>
        <v>m2</v>
      </c>
      <c r="D7" s="7" t="str">
        <v>m2</v>
      </c>
    </row>
    <row r="8" spans="1:6" x14ac:dyDescent="0.25">
      <c r="A8" s="7" t="str">
        <v>m2</v>
      </c>
      <c r="B8" s="7"/>
      <c r="C8" s="7"/>
      <c r="D8" s="7">
        <v>0</v>
      </c>
    </row>
    <row r="9" spans="1:6" x14ac:dyDescent="0.25">
      <c r="A9" s="7">
        <v>0</v>
      </c>
    </row>
    <row r="10" spans="1:6" x14ac:dyDescent="0.25">
      <c r="A10" s="7" t="str">
        <v>m3</v>
      </c>
    </row>
  </sheetData>
  <mergeCells count="1">
    <mergeCell ref="B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2F6ACCA1C4E9E429EC0979D7AA69E5C" ma:contentTypeVersion="3" ma:contentTypeDescription="Create a new document." ma:contentTypeScope="" ma:versionID="ae8745856df04360dd1be451017c997c">
  <xsd:schema xmlns:xsd="http://www.w3.org/2001/XMLSchema" xmlns:xs="http://www.w3.org/2001/XMLSchema" xmlns:p="http://schemas.microsoft.com/office/2006/metadata/properties" xmlns:ns2="caec8013-4252-46d5-9263-a99cc59dead2" targetNamespace="http://schemas.microsoft.com/office/2006/metadata/properties" ma:root="true" ma:fieldsID="a5f7786c0b3d9081a77d0462e727a0e9" ns2:_="">
    <xsd:import namespace="caec8013-4252-46d5-9263-a99cc59dead2"/>
    <xsd:element name="properties">
      <xsd:complexType>
        <xsd:sequence>
          <xsd:element name="documentManagement">
            <xsd:complexType>
              <xsd:all>
                <xsd:element ref="ns2:MediaServiceMetadata" minOccurs="0"/>
                <xsd:element ref="ns2:MediaServiceFastMetadata"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ec8013-4252-46d5-9263-a99cc59dea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E8E74F1-259B-4A8D-986B-B2E55FA52FD9}">
  <ds:schemaRefs>
    <ds:schemaRef ds:uri="http://schemas.microsoft.com/sharepoint/v3/contenttype/forms"/>
  </ds:schemaRefs>
</ds:datastoreItem>
</file>

<file path=customXml/itemProps2.xml><?xml version="1.0" encoding="utf-8"?>
<ds:datastoreItem xmlns:ds="http://schemas.openxmlformats.org/officeDocument/2006/customXml" ds:itemID="{8C42AE87-F6E1-4C18-815A-DDBC6D0FAC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ec8013-4252-46d5-9263-a99cc59dea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A37870F-1997-46E6-ABF3-D972D5619E05}">
  <ds:schemaRefs>
    <ds:schemaRef ds:uri="http://purl.org/dc/terms/"/>
    <ds:schemaRef ds:uri="http://purl.org/dc/dcmitype/"/>
    <ds:schemaRef ds:uri="http://schemas.openxmlformats.org/package/2006/metadata/core-properties"/>
    <ds:schemaRef ds:uri="caec8013-4252-46d5-9263-a99cc59dead2"/>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Plantas</vt:lpstr>
      <vt:lpstr>Fator Produção</vt:lpstr>
      <vt:lpstr>Exploração agrícola</vt:lpstr>
      <vt:lpstr>Culturas</vt:lpstr>
      <vt:lpstr>Operações</vt:lpstr>
      <vt:lpstr>Unidades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Angelo Martins</dc:creator>
  <cp:keywords/>
  <dc:description/>
  <cp:lastModifiedBy>Victor Salgado</cp:lastModifiedBy>
  <cp:revision/>
  <dcterms:created xsi:type="dcterms:W3CDTF">2023-10-06T20:31:40Z</dcterms:created>
  <dcterms:modified xsi:type="dcterms:W3CDTF">2023-10-29T03:20:47Z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0x010100E2F6ACCA1C4E9E429EC0979D7AA69E5C</vt:lpwstr>
  </property>
</Properties>
</file>